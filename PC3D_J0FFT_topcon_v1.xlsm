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2.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27.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trlProps/ctrlProp28.xml" ContentType="application/vnd.ms-excel.controlproperties+xml"/>
  <Override PartName="/xl/comments5.xml" ContentType="application/vnd.openxmlformats-officedocument.spreadsheetml.comment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trlProps/ctrlProp29.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autoCompressPictures="0" defaultThemeVersion="166925"/>
  <mc:AlternateContent xmlns:mc="http://schemas.openxmlformats.org/markup-compatibility/2006">
    <mc:Choice Requires="x15">
      <x15ac:absPath xmlns:x15ac="http://schemas.microsoft.com/office/spreadsheetml/2010/11/ac" url="https://unioxfordnexus-my.sharepoint.com/personal/corp1959_ox_ac_uk/Documents/PYTHON/FFT_PL_analysis/public_v1/"/>
    </mc:Choice>
  </mc:AlternateContent>
  <xr:revisionPtr revIDLastSave="19534" documentId="8_{5636D6B9-6EE6-4CEC-8E9C-152D7930A41B}" xr6:coauthVersionLast="47" xr6:coauthVersionMax="47" xr10:uidLastSave="{D9914CCC-22FF-49CE-9614-99AFF140FDDF}"/>
  <bookViews>
    <workbookView xWindow="28680" yWindow="-120" windowWidth="29040" windowHeight="15840" tabRatio="634" activeTab="4" xr2:uid="{00000000-000D-0000-FFFF-FFFF00000000}"/>
  </bookViews>
  <sheets>
    <sheet name="Dashboard" sheetId="1" r:id="rId1"/>
    <sheet name="Device" sheetId="2" r:id="rId2"/>
    <sheet name="Recombination" sheetId="5" r:id="rId3"/>
    <sheet name="Illumination" sheetId="7" r:id="rId4"/>
    <sheet name="Data" sheetId="3" r:id="rId5"/>
    <sheet name="Image" sheetId="9" r:id="rId6"/>
    <sheet name="Models" sheetId="10" r:id="rId7"/>
    <sheet name="Batch"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5" l="1"/>
  <c r="BE3" i="3"/>
  <c r="K32" i="3" l="1"/>
  <c r="AA30" i="1" l="1"/>
  <c r="AB30" i="1"/>
  <c r="AB31" i="1"/>
  <c r="AA31" i="1"/>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BF3" i="3"/>
  <c r="BF4" i="3"/>
  <c r="BF5" i="3"/>
  <c r="BF6" i="3"/>
  <c r="BF7" i="3"/>
  <c r="BF8" i="3"/>
  <c r="BF9" i="3"/>
  <c r="BF10" i="3"/>
  <c r="BF11" i="3"/>
  <c r="BF12" i="3"/>
  <c r="BF13" i="3"/>
  <c r="BF14" i="3"/>
  <c r="BF15" i="3"/>
  <c r="BF16" i="3"/>
  <c r="BF17" i="3"/>
  <c r="BF18" i="3"/>
  <c r="BF19" i="3"/>
  <c r="BF20" i="3"/>
  <c r="BF21" i="3"/>
  <c r="BF22" i="3"/>
  <c r="BF23" i="3"/>
  <c r="BF24" i="3"/>
  <c r="BF25" i="3"/>
  <c r="BF26" i="3"/>
  <c r="BF27" i="3"/>
  <c r="BF28" i="3"/>
  <c r="BF29" i="3"/>
  <c r="BF30" i="3"/>
  <c r="BF31" i="3"/>
  <c r="BF32" i="3"/>
  <c r="BF33" i="3"/>
  <c r="BF34" i="3"/>
  <c r="BF35" i="3"/>
  <c r="BF36" i="3"/>
  <c r="BF37" i="3"/>
  <c r="BF38" i="3"/>
  <c r="BF39" i="3"/>
  <c r="BF40" i="3"/>
  <c r="BF41" i="3"/>
  <c r="BF42" i="3"/>
  <c r="BF43" i="3"/>
  <c r="BE4" i="3"/>
  <c r="BE5" i="3"/>
  <c r="BE6" i="3"/>
  <c r="BE7" i="3"/>
  <c r="BE8" i="3"/>
  <c r="BE9" i="3"/>
  <c r="BE10" i="3"/>
  <c r="BE11" i="3"/>
  <c r="BE12" i="3"/>
  <c r="BE13" i="3"/>
  <c r="BE14" i="3"/>
  <c r="BE15" i="3"/>
  <c r="BE16" i="3"/>
  <c r="BE17" i="3"/>
  <c r="BE18" i="3"/>
  <c r="BE19" i="3"/>
  <c r="BE20" i="3"/>
  <c r="BE21" i="3"/>
  <c r="BE22" i="3"/>
  <c r="BE23" i="3"/>
  <c r="BE24" i="3"/>
  <c r="BE25" i="3"/>
  <c r="BE26" i="3"/>
  <c r="BE27" i="3"/>
  <c r="BE28" i="3"/>
  <c r="BE29" i="3"/>
  <c r="BE30" i="3"/>
  <c r="BE31" i="3"/>
  <c r="BE32" i="3"/>
  <c r="BE33" i="3"/>
  <c r="BE34" i="3"/>
  <c r="BE35" i="3"/>
  <c r="BE36" i="3"/>
  <c r="BE37" i="3"/>
  <c r="BE38" i="3"/>
  <c r="BE39" i="3"/>
  <c r="BE40" i="3"/>
  <c r="BE41" i="3"/>
  <c r="BE42" i="3"/>
  <c r="BE43"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BE2" i="3"/>
  <c r="BM1" i="3"/>
  <c r="BK1" i="3"/>
  <c r="BI1" i="3"/>
  <c r="BE44" i="3" l="1"/>
  <c r="BX44" i="3"/>
  <c r="BW44" i="3"/>
  <c r="BV44" i="3"/>
  <c r="BU44" i="3"/>
  <c r="BT44" i="3"/>
  <c r="CM44" i="3"/>
  <c r="BS44" i="3"/>
  <c r="CL44" i="3"/>
  <c r="BR44" i="3"/>
  <c r="CK44" i="3"/>
  <c r="BQ44" i="3"/>
  <c r="CJ44" i="3"/>
  <c r="BP44" i="3"/>
  <c r="CI44" i="3"/>
  <c r="BO44" i="3"/>
  <c r="CQ44" i="3"/>
  <c r="CG44" i="3"/>
  <c r="BL44" i="3"/>
  <c r="CE44" i="3"/>
  <c r="BK44" i="3"/>
  <c r="BZ44" i="3"/>
  <c r="BY44" i="3"/>
  <c r="CP44" i="3"/>
  <c r="CN44" i="3"/>
  <c r="CF44" i="3"/>
  <c r="CD44" i="3"/>
  <c r="BJ44" i="3"/>
  <c r="CR44" i="3"/>
  <c r="CO44" i="3"/>
  <c r="CC44" i="3"/>
  <c r="BI44" i="3"/>
  <c r="BN44" i="3"/>
  <c r="BM44" i="3"/>
  <c r="CB44" i="3"/>
  <c r="BH44" i="3"/>
  <c r="BF44" i="3"/>
  <c r="CS44" i="3"/>
  <c r="CH44" i="3"/>
  <c r="CA44" i="3"/>
  <c r="BG44" i="3"/>
  <c r="BF47" i="3" l="1"/>
  <c r="BF46" i="3"/>
  <c r="BH46"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B1" authorId="0" shapeId="0" xr:uid="{5006F1AC-6335-4D32-A7A1-142FA7BD4B87}">
      <text>
        <r>
          <rPr>
            <b/>
            <sz val="9"/>
            <color indexed="81"/>
            <rFont val="Tahoma"/>
            <family val="2"/>
          </rPr>
          <t>Last text file loaded or saved. Turns red when parameters are modified but changes have not been saved.</t>
        </r>
      </text>
    </comment>
    <comment ref="F1" authorId="0" shapeId="0" xr:uid="{00000000-0006-0000-0000-000002000000}">
      <text>
        <r>
          <rPr>
            <b/>
            <sz val="9"/>
            <color rgb="FF000000"/>
            <rFont val="Tahoma"/>
            <family val="2"/>
          </rPr>
          <t>Applied forward voltage across the contacts to the solution volume.</t>
        </r>
      </text>
    </comment>
    <comment ref="H1" authorId="0" shapeId="0" xr:uid="{00000000-0006-0000-0000-000003000000}">
      <text>
        <r>
          <rPr>
            <b/>
            <sz val="9"/>
            <color indexed="81"/>
            <rFont val="Tahoma"/>
            <family val="2"/>
          </rPr>
          <t>Choose Voc mode to disconnect the contact voltage and solve for open-circuit condition.</t>
        </r>
      </text>
    </comment>
    <comment ref="K1" authorId="0" shapeId="0" xr:uid="{30D4A4AB-B453-49CA-9660-CD5A003DBCEB}">
      <text>
        <r>
          <rPr>
            <b/>
            <sz val="9"/>
            <color indexed="81"/>
            <rFont val="Tahoma"/>
            <family val="2"/>
          </rPr>
          <t>www.pc3d.info has hints to get started. Also look for the red triangles for help with individual cells.</t>
        </r>
      </text>
    </comment>
    <comment ref="P1" authorId="0" shapeId="0" xr:uid="{00000000-0006-0000-0000-000004000000}">
      <text>
        <r>
          <rPr>
            <b/>
            <sz val="9"/>
            <color rgb="FF000000"/>
            <rFont val="Tahoma"/>
            <family val="2"/>
          </rPr>
          <t>Schematic of doping (p-blue, n-gold, none-green) and metallic contacts (gray) at the selected surface.</t>
        </r>
      </text>
    </comment>
    <comment ref="R1" authorId="0" shapeId="0" xr:uid="{00000000-0006-0000-0000-000005000000}">
      <text>
        <r>
          <rPr>
            <b/>
            <sz val="9"/>
            <color rgb="FF000000"/>
            <rFont val="Tahoma"/>
            <family val="2"/>
          </rPr>
          <t>Photogeneration rate at each point within the solution volume.</t>
        </r>
      </text>
    </comment>
    <comment ref="T1" authorId="0" shapeId="0" xr:uid="{00000000-0006-0000-0000-000006000000}">
      <text>
        <r>
          <rPr>
            <b/>
            <sz val="9"/>
            <color indexed="81"/>
            <rFont val="Tahoma"/>
            <family val="2"/>
          </rPr>
          <t>Excess sheet conductance integrated across the thickness of the solution volume.</t>
        </r>
      </text>
    </comment>
    <comment ref="B2" authorId="0" shapeId="0" xr:uid="{4F634642-C3EB-423A-90BD-15249E6636E5}">
      <text>
        <r>
          <rPr>
            <b/>
            <sz val="9"/>
            <color rgb="FF000000"/>
            <rFont val="Tahoma"/>
            <family val="2"/>
          </rPr>
          <t>Higher resolution has more detail but takes longer. Auto seeeks a balance based on device structure.</t>
        </r>
      </text>
    </comment>
    <comment ref="F2" authorId="0" shapeId="0" xr:uid="{00000000-0006-0000-0000-000008000000}">
      <text>
        <r>
          <rPr>
            <b/>
            <sz val="9"/>
            <color indexed="81"/>
            <rFont val="Tahoma"/>
            <family val="2"/>
          </rPr>
          <t>Total photogeneration rate in the solution volume per cm2 of top-view area.</t>
        </r>
      </text>
    </comment>
    <comment ref="P2" authorId="0" shapeId="0" xr:uid="{00000000-0006-0000-0000-000009000000}">
      <text>
        <r>
          <rPr>
            <b/>
            <sz val="9"/>
            <color rgb="FF000000"/>
            <rFont val="Tahoma"/>
            <family val="2"/>
          </rPr>
          <t>Illumination intensity incident on the selected surface.</t>
        </r>
      </text>
    </comment>
    <comment ref="R2" authorId="0" shapeId="0" xr:uid="{00000000-0006-0000-0000-00000A000000}">
      <text>
        <r>
          <rPr>
            <b/>
            <sz val="9"/>
            <color rgb="FF000000"/>
            <rFont val="Tahoma"/>
            <family val="2"/>
          </rPr>
          <t>Recombination rate at each point in the solution volume, including bulk defects but not surfaces.</t>
        </r>
      </text>
    </comment>
    <comment ref="T2" authorId="0" shapeId="0" xr:uid="{00000000-0006-0000-0000-00000B000000}">
      <text>
        <r>
          <rPr>
            <b/>
            <sz val="9"/>
            <color indexed="81"/>
            <rFont val="Tahoma"/>
            <family val="2"/>
          </rPr>
          <t>Dissipation (loss of free energy) due to recombination, carrier flows, and contact resistance.</t>
        </r>
      </text>
    </comment>
    <comment ref="B3" authorId="0" shapeId="0" xr:uid="{B71AE545-7D43-4548-8113-C76559B507B3}">
      <text>
        <r>
          <rPr>
            <b/>
            <sz val="9"/>
            <color indexed="81"/>
            <rFont val="Tahoma"/>
            <family val="2"/>
          </rPr>
          <t>1E-3 for I-V curves, 
1E-4 to study Pmax,
1E-5 for maximum solution confidence.</t>
        </r>
      </text>
    </comment>
    <comment ref="F3" authorId="0" shapeId="0" xr:uid="{00000000-0006-0000-0000-00000D000000}">
      <text>
        <r>
          <rPr>
            <b/>
            <sz val="9"/>
            <color rgb="FF000000"/>
            <rFont val="Tahoma"/>
            <family val="2"/>
          </rPr>
          <t>Total recombination rate in the solution volume including bulk defects and at both surfaces.</t>
        </r>
      </text>
    </comment>
    <comment ref="P3" authorId="0" shapeId="0" xr:uid="{00000000-0006-0000-0000-00000E000000}">
      <text>
        <r>
          <rPr>
            <b/>
            <sz val="9"/>
            <color rgb="FF000000"/>
            <rFont val="Tahoma"/>
            <family val="2"/>
          </rPr>
          <t>Surface recombination rate at the selected surface.</t>
        </r>
      </text>
    </comment>
    <comment ref="R3" authorId="0" shapeId="0" xr:uid="{00000000-0006-0000-0000-00000F000000}">
      <text>
        <r>
          <rPr>
            <b/>
            <sz val="9"/>
            <color rgb="FF000000"/>
            <rFont val="Tahoma"/>
            <family val="2"/>
          </rPr>
          <t>Excess carriers at each point in the solution volume, assumed equal for electrons and holes.</t>
        </r>
      </text>
    </comment>
    <comment ref="T3" authorId="0" shapeId="0" xr:uid="{00000000-0006-0000-0000-000010000000}">
      <text>
        <r>
          <rPr>
            <b/>
            <sz val="9"/>
            <color rgb="FF000000"/>
            <rFont val="Tahoma"/>
            <family val="2"/>
          </rPr>
          <t>Components of current density at each point within the solution volume (not including surfaces).</t>
        </r>
      </text>
    </comment>
    <comment ref="B4" authorId="0" shapeId="0" xr:uid="{F384EEE5-7A28-481D-81EF-7EDA0CF03759}">
      <text>
        <r>
          <rPr>
            <b/>
            <sz val="9"/>
            <color rgb="FF000000"/>
            <rFont val="Tahoma"/>
            <family val="2"/>
          </rPr>
          <t>Fractional change in total recombination as a result of the last completed iteration. Aborts if over 1000.</t>
        </r>
      </text>
    </comment>
    <comment ref="F4" authorId="0" shapeId="0" xr:uid="{00000000-0006-0000-0000-000012000000}">
      <text>
        <r>
          <rPr>
            <b/>
            <sz val="9"/>
            <color rgb="FF000000"/>
            <rFont val="Tahoma"/>
            <family val="2"/>
          </rPr>
          <t>Terminal voltage differs from the applied contact voltage if external Rs (Device!T8) &gt; 0.</t>
        </r>
      </text>
    </comment>
    <comment ref="L4" authorId="0" shapeId="0" xr:uid="{00000000-0006-0000-0000-000013000000}">
      <text>
        <r>
          <rPr>
            <b/>
            <sz val="9"/>
            <color rgb="FF000000"/>
            <rFont val="Tahoma"/>
            <family val="2"/>
          </rPr>
          <t>Use this button to reset solution result variables (not inputs) after a program execution error.</t>
        </r>
      </text>
    </comment>
    <comment ref="P4" authorId="0" shapeId="0" xr:uid="{00000000-0006-0000-0000-000014000000}">
      <text>
        <r>
          <rPr>
            <b/>
            <sz val="9"/>
            <color rgb="FF000000"/>
            <rFont val="Tahoma"/>
            <family val="2"/>
          </rPr>
          <t>Current density in the plane of the selected surface. X-component for 2D, magnitude for 3D.</t>
        </r>
      </text>
    </comment>
    <comment ref="R4" authorId="0" shapeId="0" xr:uid="{00000000-0006-0000-0000-000015000000}">
      <text>
        <r>
          <rPr>
            <b/>
            <sz val="9"/>
            <color rgb="FF000000"/>
            <rFont val="Tahoma"/>
            <family val="2"/>
          </rPr>
          <t>Deviation of electrostatic potential from equilibrium at each point in the device.</t>
        </r>
      </text>
    </comment>
    <comment ref="S4" authorId="0" shapeId="0" xr:uid="{E2FA0B33-28BE-45BA-8230-5B3E034EBC06}">
      <text>
        <r>
          <rPr>
            <b/>
            <sz val="9"/>
            <color indexed="81"/>
            <rFont val="Tahoma"/>
            <family val="2"/>
          </rPr>
          <t>Choose electrons, holes, or the total current (electrons plus holes).</t>
        </r>
      </text>
    </comment>
    <comment ref="B5" authorId="0" shapeId="0" xr:uid="{FD2713BE-B9C5-459E-937B-00268569B62A}">
      <text>
        <r>
          <rPr>
            <b/>
            <sz val="9"/>
            <color rgb="FF000000"/>
            <rFont val="Tahoma"/>
            <family val="2"/>
          </rPr>
          <t>Current iteration during solution. Total iterations used if solution completed (stops after 30 iterations).</t>
        </r>
      </text>
    </comment>
    <comment ref="F5" authorId="0" shapeId="0" xr:uid="{00000000-0006-0000-0000-000017000000}">
      <text>
        <r>
          <rPr>
            <b/>
            <sz val="9"/>
            <color indexed="81"/>
            <rFont val="Tahoma"/>
            <family val="2"/>
          </rPr>
          <t>The current out of the terminals equals Generation minus Recombination.</t>
        </r>
      </text>
    </comment>
    <comment ref="K5" authorId="0" shapeId="0" xr:uid="{00000000-0006-0000-0000-000018000000}">
      <text>
        <r>
          <rPr>
            <b/>
            <sz val="9"/>
            <color indexed="81"/>
            <rFont val="Tahoma"/>
            <family val="2"/>
          </rPr>
          <t>Appropriate citation: P.A. Basore, PC3D 2020 [Online] http:// www.pc3d.info, with date downloaded.</t>
        </r>
      </text>
    </comment>
    <comment ref="P5" authorId="0" shapeId="0" xr:uid="{00000000-0006-0000-0000-000019000000}">
      <text>
        <r>
          <rPr>
            <b/>
            <sz val="9"/>
            <color rgb="FF000000"/>
            <rFont val="Tahoma"/>
            <family val="2"/>
          </rPr>
          <t>Thin-layer estimate of  luminescence = excess pn across thickness times optical transmission.</t>
        </r>
      </text>
    </comment>
    <comment ref="R5" authorId="0" shapeId="0" xr:uid="{00000000-0006-0000-0000-00001A000000}">
      <text>
        <r>
          <rPr>
            <b/>
            <sz val="9"/>
            <color rgb="FF000000"/>
            <rFont val="Tahoma"/>
            <family val="2"/>
          </rPr>
          <t>Quasi-fermi potentials at each point in the solution volume.</t>
        </r>
      </text>
    </comment>
    <comment ref="S5" authorId="0" shapeId="0" xr:uid="{B8DC1588-0F85-4156-A1B7-22F7B15D0C78}">
      <text>
        <r>
          <rPr>
            <b/>
            <sz val="9"/>
            <color indexed="81"/>
            <rFont val="Tahoma"/>
            <family val="2"/>
          </rPr>
          <t>X: width (+ -&gt; right)
Y: length (+ -&gt; face)
Z: depth (+ -&gt; rear)</t>
        </r>
      </text>
    </comment>
    <comment ref="B6" authorId="0" shapeId="0" xr:uid="{FC5FD0CD-FBD9-4459-A924-FF064A05102D}">
      <text>
        <r>
          <rPr>
            <b/>
            <sz val="9"/>
            <color indexed="81"/>
            <rFont val="Tahoma"/>
            <family val="2"/>
          </rPr>
          <t>Shows current solution status, e.g. wavelength during photogeneration, step phase during IV.</t>
        </r>
      </text>
    </comment>
    <comment ref="F6" authorId="0" shapeId="0" xr:uid="{00000000-0006-0000-0000-00001C000000}">
      <text>
        <r>
          <rPr>
            <b/>
            <sz val="9"/>
            <color indexed="81"/>
            <rFont val="Tahoma"/>
            <family val="2"/>
          </rPr>
          <t>Terminal Power is Terminal Voltage times Terminal Current.</t>
        </r>
      </text>
    </comment>
    <comment ref="K6" authorId="0" shapeId="0" xr:uid="{5BB8C33B-DB24-494B-87D5-42523549223E}">
      <text>
        <r>
          <rPr>
            <b/>
            <sz val="9"/>
            <color indexed="81"/>
            <rFont val="Tahoma"/>
            <family val="2"/>
          </rPr>
          <t>Register to receive notification of updates by sending email with NOTIFY in it to info@pc3d.info</t>
        </r>
      </text>
    </comment>
    <comment ref="O6" authorId="0" shapeId="0" xr:uid="{1D2CD936-F2E3-43A0-AE13-32A392DD68D4}">
      <text>
        <r>
          <rPr>
            <b/>
            <sz val="9"/>
            <color indexed="81"/>
            <rFont val="Tahoma"/>
            <family val="2"/>
          </rPr>
          <t>Select front or rear surface for the plots listed above.</t>
        </r>
      </text>
    </comment>
    <comment ref="Q6" authorId="0" shapeId="0" xr:uid="{B8772720-7E5F-40CA-B2A2-E654A5CB3F67}">
      <text>
        <r>
          <rPr>
            <b/>
            <sz val="9"/>
            <color rgb="FF000000"/>
            <rFont val="Tahoma"/>
            <family val="2"/>
          </rPr>
          <t>Select which carrier's Quasi-Fermi potential to display, or the split between holes and  electrons: QFp - QFn.</t>
        </r>
      </text>
    </comment>
    <comment ref="S6" authorId="0" shapeId="0" xr:uid="{5DE11D7E-6A56-430C-BB31-54A7D67E2435}">
      <text>
        <r>
          <rPr>
            <b/>
            <sz val="9"/>
            <color rgb="FF000000"/>
            <rFont val="Tahoma"/>
            <family val="2"/>
          </rPr>
          <t>Choose the drift or diffusion component of current, or the total (drift + diffusion).</t>
        </r>
      </text>
    </comment>
    <comment ref="A8" authorId="0" shapeId="0" xr:uid="{0D3A005D-43DD-4512-B1D9-D5DE7C843EFB}">
      <text>
        <r>
          <rPr>
            <b/>
            <sz val="9"/>
            <color indexed="81"/>
            <rFont val="Tahoma"/>
            <family val="2"/>
          </rPr>
          <t>All PC3D program code is open-source in Visual Basic (VBA).  View/edit using the Developer tab at the top menu.</t>
        </r>
      </text>
    </comment>
    <comment ref="J8" authorId="0" shapeId="0" xr:uid="{452103DD-4549-4F8D-A8FB-8ECBA2640F4E}">
      <text>
        <r>
          <rPr>
            <b/>
            <sz val="9"/>
            <color indexed="81"/>
            <rFont val="Tahoma"/>
            <family val="2"/>
          </rPr>
          <t>You can enter a formula into any user input cell to make it be a function of other parameters.</t>
        </r>
      </text>
    </comment>
    <comment ref="K8" authorId="0" shapeId="0" xr:uid="{00000000-0006-0000-0000-00001F000000}">
      <text>
        <r>
          <rPr>
            <b/>
            <sz val="9"/>
            <color rgb="FF000000"/>
            <rFont val="Tahoma"/>
            <family val="2"/>
          </rPr>
          <t>Yellow fields are device, excitation, or view specific and routinely changed by the user.</t>
        </r>
      </text>
    </comment>
    <comment ref="L8" authorId="0" shapeId="0" xr:uid="{00000000-0006-0000-0000-000020000000}">
      <text>
        <r>
          <rPr>
            <b/>
            <sz val="9"/>
            <color rgb="FF000000"/>
            <rFont val="Tahoma"/>
            <family val="2"/>
          </rPr>
          <t>Orange fields should only require changes if deviating from silicon at 25C with an AM1.5G spectrum.</t>
        </r>
      </text>
    </comment>
    <comment ref="M8" authorId="0" shapeId="0" xr:uid="{00000000-0006-0000-0000-000021000000}">
      <text>
        <r>
          <rPr>
            <b/>
            <sz val="9"/>
            <color rgb="FF000000"/>
            <rFont val="Tahoma"/>
            <family val="2"/>
          </rPr>
          <t>Sea-green fields affect the numeric solution method, allowing trade-off of accuracy versus time.</t>
        </r>
      </text>
    </comment>
    <comment ref="O8" authorId="0" shapeId="0" xr:uid="{EBE3B9F5-307A-4F07-9F9F-110B5D3D5235}">
      <text>
        <r>
          <rPr>
            <b/>
            <sz val="9"/>
            <color rgb="FF000000"/>
            <rFont val="Tahoma"/>
            <family val="2"/>
          </rPr>
          <t xml:space="preserve">Yellow: light, heat
</t>
        </r>
        <r>
          <rPr>
            <b/>
            <sz val="9"/>
            <color rgb="FF000000"/>
            <rFont val="Tahoma"/>
            <family val="2"/>
          </rPr>
          <t xml:space="preserve">Gray: iteration
</t>
        </r>
        <r>
          <rPr>
            <b/>
            <sz val="9"/>
            <color rgb="FF000000"/>
            <rFont val="Tahoma"/>
            <family val="2"/>
          </rPr>
          <t xml:space="preserve">Green: solved
</t>
        </r>
        <r>
          <rPr>
            <b/>
            <sz val="9"/>
            <color rgb="FF000000"/>
            <rFont val="Tahoma"/>
            <family val="2"/>
          </rPr>
          <t xml:space="preserve">Blue: holes
</t>
        </r>
        <r>
          <rPr>
            <b/>
            <sz val="9"/>
            <color rgb="FF000000"/>
            <rFont val="Tahoma"/>
            <family val="2"/>
          </rPr>
          <t>Orange: electrons</t>
        </r>
      </text>
    </comment>
    <comment ref="R8" authorId="0" shapeId="0" xr:uid="{3122533B-6E59-4454-A1E5-8F1AB65F19AD}">
      <text>
        <r>
          <rPr>
            <b/>
            <sz val="9"/>
            <color rgb="FF000000"/>
            <rFont val="Tahoma"/>
            <family val="2"/>
          </rPr>
          <t>The name of the current contour plot is shown here.</t>
        </r>
      </text>
    </comment>
    <comment ref="T8" authorId="0" shapeId="0" xr:uid="{2F6D7B43-CB8D-404F-A091-0E9AEE7A5F40}">
      <text>
        <r>
          <rPr>
            <b/>
            <sz val="9"/>
            <color rgb="FF000000"/>
            <rFont val="Tahoma"/>
            <family val="2"/>
          </rPr>
          <t>Scans from the near side to the far side of the solution region from the selected View perspective.</t>
        </r>
      </text>
    </comment>
    <comment ref="O9" authorId="0" shapeId="0" xr:uid="{00000000-0006-0000-0000-000023000000}">
      <text>
        <r>
          <rPr>
            <b/>
            <sz val="9"/>
            <color rgb="FF000000"/>
            <rFont val="Tahoma"/>
            <family val="2"/>
          </rPr>
          <t>Some spreadsheet cells, like this one, only allow the user to choose from a drop-down list of choices.</t>
        </r>
      </text>
    </comment>
    <comment ref="Q9" authorId="0" shapeId="0" xr:uid="{00000000-0006-0000-0000-000024000000}">
      <text>
        <r>
          <rPr>
            <b/>
            <sz val="9"/>
            <color rgb="FF000000"/>
            <rFont val="Tahoma"/>
            <family val="2"/>
          </rPr>
          <t>Distance into the solution volume from the plane of the selected View perspective.</t>
        </r>
      </text>
    </comment>
    <comment ref="C10" authorId="0" shapeId="0" xr:uid="{A4858036-D5CB-4C18-BDF5-E5ADCE5DDE03}">
      <text>
        <r>
          <rPr>
            <b/>
            <sz val="9"/>
            <color rgb="FF000000"/>
            <rFont val="Tahoma"/>
            <family val="2"/>
          </rPr>
          <t>For Light IV: Jsc is where the curve crosses the y-axis. For Pseudo-IV: Jsc is set equal to photogeneration.</t>
        </r>
      </text>
    </comment>
    <comment ref="K10" authorId="0" shapeId="0" xr:uid="{00000000-0006-0000-0000-000026000000}">
      <text>
        <r>
          <rPr>
            <b/>
            <sz val="9"/>
            <color indexed="81"/>
            <rFont val="Tahoma"/>
            <family val="2"/>
          </rPr>
          <t>Choose Fast mode to assume reciprocity, which speeds-up the EQE calculation (light bias is then not used).</t>
        </r>
      </text>
    </comment>
    <comment ref="Q10" authorId="0" shapeId="0" xr:uid="{00000000-0006-0000-0000-000027000000}">
      <text>
        <r>
          <rPr>
            <b/>
            <sz val="9"/>
            <color rgb="FF000000"/>
            <rFont val="Tahoma"/>
            <family val="2"/>
          </rPr>
          <t>Minimum value within the plane displayed.</t>
        </r>
      </text>
    </comment>
    <comment ref="S10" authorId="0" shapeId="0" xr:uid="{00000000-0006-0000-0000-000028000000}">
      <text>
        <r>
          <rPr>
            <b/>
            <sz val="9"/>
            <color rgb="FF000000"/>
            <rFont val="Tahoma"/>
            <family val="2"/>
          </rPr>
          <t>Maximum value within the plane displayed.</t>
        </r>
      </text>
    </comment>
    <comment ref="A11" authorId="0" shapeId="0" xr:uid="{00000000-0006-0000-0000-000029000000}">
      <text>
        <r>
          <rPr>
            <b/>
            <sz val="9"/>
            <color indexed="81"/>
            <rFont val="Tahoma"/>
            <family val="2"/>
          </rPr>
          <t>Can be as low as 4 for most devices. Default value of 8 is enough for nearly all devices.</t>
        </r>
      </text>
    </comment>
    <comment ref="C11" authorId="0" shapeId="0" xr:uid="{E411CCFE-F1FD-46BE-9688-57B47D855B77}">
      <text>
        <r>
          <rPr>
            <b/>
            <sz val="9"/>
            <color rgb="FF000000"/>
            <rFont val="Tahoma"/>
            <family val="2"/>
          </rPr>
          <t>Voc is the intersection of the I-V curve with the x-axis for both Light IV and Pseudo IV.</t>
        </r>
      </text>
    </comment>
    <comment ref="K11" authorId="0" shapeId="0" xr:uid="{C950371D-CDEF-48A5-B782-F8086D1FD372}">
      <text>
        <r>
          <rPr>
            <b/>
            <sz val="9"/>
            <color indexed="81"/>
            <rFont val="Tahoma"/>
            <family val="2"/>
          </rPr>
          <t>The 1-sun spectrally weighted integration of EQE over the wavelength range scanned.</t>
        </r>
      </text>
    </comment>
    <comment ref="A12" authorId="0" shapeId="0" xr:uid="{00000000-0006-0000-0000-00002B000000}">
      <text>
        <r>
          <rPr>
            <b/>
            <sz val="9"/>
            <color indexed="81"/>
            <rFont val="Tahoma"/>
            <family val="2"/>
          </rPr>
          <t>Only applied to Dark IV scan, this is the maximum contact voltage. Too high won't converge.</t>
        </r>
      </text>
    </comment>
    <comment ref="C12" authorId="0" shapeId="0" xr:uid="{08BC2D3A-2084-47CB-8BE0-85A239047C14}">
      <text>
        <r>
          <rPr>
            <b/>
            <sz val="9"/>
            <color rgb="FF000000"/>
            <rFont val="Tahoma"/>
            <family val="2"/>
          </rPr>
          <t>Pmax is the maximum product of voltage and current. Vmax and Imax are shown on the graph.</t>
        </r>
      </text>
    </comment>
    <comment ref="A13" authorId="0" shapeId="0" xr:uid="{00000000-0006-0000-0000-00002C000000}">
      <text>
        <r>
          <rPr>
            <b/>
            <sz val="9"/>
            <color indexed="81"/>
            <rFont val="Tahoma"/>
            <family val="2"/>
          </rPr>
          <t>Average illumination power density, sum of front + rear.</t>
        </r>
      </text>
    </comment>
    <comment ref="E13" authorId="0" shapeId="0" xr:uid="{00000000-0006-0000-0000-00002D000000}">
      <text>
        <r>
          <rPr>
            <b/>
            <sz val="9"/>
            <color indexed="81"/>
            <rFont val="Tahoma"/>
            <family val="2"/>
          </rPr>
          <t>FF = Pmax / (Voc*Jsc) is only computed if Jsc, Voc and Pmax are all successfully found.</t>
        </r>
      </text>
    </comment>
    <comment ref="G13" authorId="0" shapeId="0" xr:uid="{00000000-0006-0000-0000-00002E000000}">
      <text>
        <r>
          <rPr>
            <b/>
            <sz val="9"/>
            <color rgb="FF000000"/>
            <rFont val="Tahoma"/>
            <family val="2"/>
          </rPr>
          <t>Default of 18 gives 50 nm intervals for a typical range of 300 to 1200 nm. Use 9 with batch mode.</t>
        </r>
      </text>
    </comment>
    <comment ref="A14" authorId="0" shapeId="0" xr:uid="{00000000-0006-0000-0000-00002F000000}">
      <text>
        <r>
          <rPr>
            <b/>
            <sz val="9"/>
            <color indexed="81"/>
            <rFont val="Tahoma"/>
            <family val="2"/>
          </rPr>
          <t>Pmax/(Pfront+Prear)</t>
        </r>
      </text>
    </comment>
    <comment ref="G14" authorId="0" shapeId="0" xr:uid="{00000000-0006-0000-0000-000030000000}">
      <text>
        <r>
          <rPr>
            <b/>
            <sz val="9"/>
            <color indexed="81"/>
            <rFont val="Tahoma"/>
            <family val="2"/>
          </rPr>
          <t>Monochromatic light generation is 1% of bias light generation, or 1 mW/cm2 if bias light is zero.</t>
        </r>
      </text>
    </comment>
    <comment ref="F16" authorId="0" shapeId="0" xr:uid="{00000000-0006-0000-0000-000031000000}">
      <text>
        <r>
          <rPr>
            <b/>
            <sz val="9"/>
            <color indexed="81"/>
            <rFont val="Tahoma"/>
            <family val="2"/>
          </rPr>
          <t>Terminal Current (A/cm2) and Terminal Power (W/cm2) versus Terminal Voltage (V).</t>
        </r>
      </text>
    </comment>
    <comment ref="M16" authorId="0" shapeId="0" xr:uid="{00000000-0006-0000-0000-000032000000}">
      <text>
        <r>
          <rPr>
            <b/>
            <sz val="9"/>
            <color indexed="81"/>
            <rFont val="Tahoma"/>
            <family val="2"/>
          </rPr>
          <t>Graph shows Collection Efficiency (%) and EQE (%) versus photon wavelength in air (nm).</t>
        </r>
      </text>
    </comment>
    <comment ref="Q30" authorId="0" shapeId="0" xr:uid="{37394278-0E58-4CCF-9258-E8591F41CED1}">
      <text>
        <r>
          <rPr>
            <b/>
            <sz val="9"/>
            <color rgb="FF000000"/>
            <rFont val="Tahoma"/>
            <family val="2"/>
          </rPr>
          <t>Minimum value within the plane displayed.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3F2D8BF-4334-4DE4-B17E-062EA8DEF01A}">
      <text>
        <r>
          <rPr>
            <b/>
            <sz val="9"/>
            <color indexed="81"/>
            <rFont val="Tahoma"/>
            <family val="2"/>
          </rPr>
          <t>The periodicity in width and length is twice these solution volume dimensions.</t>
        </r>
      </text>
    </comment>
    <comment ref="A2" authorId="0" shapeId="0" xr:uid="{00000000-0006-0000-0100-000002000000}">
      <text>
        <r>
          <rPr>
            <b/>
            <sz val="9"/>
            <color indexed="81"/>
            <rFont val="Tahoma"/>
            <family val="2"/>
          </rPr>
          <t>Solution dimension in plane of wafer: horizontal in Top or Face view, spans across table columns.</t>
        </r>
      </text>
    </comment>
    <comment ref="D2" authorId="0" shapeId="0" xr:uid="{00000000-0006-0000-0100-000003000000}">
      <text>
        <r>
          <rPr>
            <b/>
            <sz val="9"/>
            <color indexed="81"/>
            <rFont val="Tahoma"/>
            <family val="2"/>
          </rPr>
          <t>Solution dimension in plane of wafer: vert. in Top view, horiz. in Side view, spans down table rows.</t>
        </r>
      </text>
    </comment>
    <comment ref="G2" authorId="0" shapeId="0" xr:uid="{00000000-0006-0000-0100-000004000000}">
      <text>
        <r>
          <rPr>
            <b/>
            <sz val="9"/>
            <color indexed="81"/>
            <rFont val="Tahoma"/>
            <family val="2"/>
          </rPr>
          <t xml:space="preserve">Solution dimension across wafer thickness: vertical in Face or Side view. </t>
        </r>
      </text>
    </comment>
    <comment ref="J2" authorId="0" shapeId="0" xr:uid="{00000000-0006-0000-0100-000005000000}">
      <text>
        <r>
          <rPr>
            <b/>
            <sz val="9"/>
            <color indexed="81"/>
            <rFont val="Tahoma"/>
            <family val="2"/>
          </rPr>
          <t>Width x Length of solution region. All calculated results are normalized per cm2 of solution Area.</t>
        </r>
      </text>
    </comment>
    <comment ref="M2" authorId="0" shapeId="0" xr:uid="{818F7C05-46DF-4B7A-B576-E7462CE9860B}">
      <text>
        <r>
          <rPr>
            <b/>
            <sz val="9"/>
            <color rgb="FF000000"/>
            <rFont val="Tahoma"/>
            <family val="2"/>
          </rPr>
          <t>Select 3D to enable full layout definition. Select 2D for easier specification of 2D devices.</t>
        </r>
      </text>
    </comment>
    <comment ref="N2" authorId="0" shapeId="0" xr:uid="{00000000-0006-0000-0100-000007000000}">
      <text>
        <r>
          <rPr>
            <b/>
            <sz val="9"/>
            <color rgb="FF000000"/>
            <rFont val="Tahoma"/>
            <family val="2"/>
          </rPr>
          <t>Temperature affects kT/q and Si diffusivity. You must adjust other affected values, or use Temperature Model.</t>
        </r>
      </text>
    </comment>
    <comment ref="P2" authorId="0" shapeId="0" xr:uid="{5A979BFE-D0D9-47C3-A563-27FAFEB9E162}">
      <text>
        <r>
          <rPr>
            <b/>
            <sz val="9"/>
            <color indexed="81"/>
            <rFont val="Tahoma"/>
            <family val="2"/>
          </rPr>
          <t>Temperature in kelvin = 
273.15 + deg C. Thermal voltage, Vt, equals kelvin temp / 300K times 0.025851483.</t>
        </r>
      </text>
    </comment>
    <comment ref="D4" authorId="0" shapeId="0" xr:uid="{FE477714-F7AB-420C-958E-40C4F254C7A0}">
      <text>
        <r>
          <rPr>
            <b/>
            <sz val="9"/>
            <color rgb="FF000000"/>
            <rFont val="Tahoma"/>
            <family val="2"/>
          </rPr>
          <t>Rows and Columns are as viewed looking down at the top of the wafer surface.</t>
        </r>
      </text>
    </comment>
    <comment ref="L4" authorId="0" shapeId="0" xr:uid="{4ECA53B1-AC87-4DA9-A32B-29C6F7D9445F}">
      <text>
        <r>
          <rPr>
            <b/>
            <sz val="9"/>
            <color rgb="FF000000"/>
            <rFont val="Tahoma"/>
            <family val="2"/>
          </rPr>
          <t>Rows and Columns are as viewed looking down at the top of the wafer surface.</t>
        </r>
      </text>
    </comment>
    <comment ref="A5" authorId="0" shapeId="0" xr:uid="{00000000-0006-0000-0100-000008000000}">
      <text>
        <r>
          <rPr>
            <b/>
            <sz val="9"/>
            <color indexed="81"/>
            <rFont val="Tahoma"/>
            <family val="2"/>
          </rPr>
          <t>There must be at least one contact to a surface region having the same polarity as the bulk.</t>
        </r>
      </text>
    </comment>
    <comment ref="S8" authorId="0" shapeId="0" xr:uid="{00000000-0006-0000-0100-000009000000}">
      <text>
        <r>
          <rPr>
            <b/>
            <sz val="9"/>
            <color indexed="81"/>
            <rFont val="Tahoma"/>
            <family val="2"/>
          </rPr>
          <t>Series resistance between the contacts and the device terminals (e.g. gridlines + busbars).</t>
        </r>
      </text>
    </comment>
    <comment ref="H12" authorId="0" shapeId="0" xr:uid="{B1722957-3284-47CC-9897-4F17109BC20D}">
      <text>
        <r>
          <rPr>
            <b/>
            <sz val="9"/>
            <color rgb="FF000000"/>
            <rFont val="Tahoma"/>
            <family val="2"/>
          </rPr>
          <t>Sets all rows and columns on front surface to fit mm, which divides length and width equally.</t>
        </r>
      </text>
    </comment>
    <comment ref="P12" authorId="0" shapeId="0" xr:uid="{7193280D-A6E5-436C-B21E-3D2CFB2BE94D}">
      <text>
        <r>
          <rPr>
            <b/>
            <sz val="9"/>
            <color indexed="81"/>
            <rFont val="Tahoma"/>
            <family val="2"/>
          </rPr>
          <t>Sets all rows and columns for rear surface to fit mm, which divides length and width equally.</t>
        </r>
      </text>
    </comment>
    <comment ref="A14" authorId="0" shapeId="0" xr:uid="{00000000-0006-0000-0100-00000A000000}">
      <text>
        <r>
          <rPr>
            <b/>
            <sz val="9"/>
            <color indexed="81"/>
            <rFont val="Tahoma"/>
            <family val="2"/>
          </rPr>
          <t>Sheet Rho assumed uniform within each of the surface regions defined in the table.</t>
        </r>
      </text>
    </comment>
    <comment ref="R14" authorId="0" shapeId="0" xr:uid="{00000000-0006-0000-0100-00000B000000}">
      <text>
        <r>
          <rPr>
            <b/>
            <sz val="9"/>
            <color indexed="81"/>
            <rFont val="Tahoma"/>
            <family val="2"/>
          </rPr>
          <t>Bulk doping density and carrier diffusivity are assumed to be uniform throughout the solution volume.</t>
        </r>
      </text>
    </comment>
    <comment ref="R15" authorId="0" shapeId="0" xr:uid="{3C488269-F55E-4556-B592-44B88352098D}">
      <text>
        <r>
          <rPr>
            <b/>
            <sz val="9"/>
            <color rgb="FF000000"/>
            <rFont val="Tahoma"/>
            <family val="2"/>
          </rPr>
          <t>Calculate diffusivities using a formula for Silicon, or enter the diffusivity values manually.</t>
        </r>
      </text>
    </comment>
    <comment ref="S15" authorId="0" shapeId="0" xr:uid="{6B723C77-374A-4870-8143-9006A73002EC}">
      <text>
        <r>
          <rPr>
            <b/>
            <sz val="9"/>
            <color rgb="FF000000"/>
            <rFont val="Tahoma"/>
            <family val="2"/>
          </rPr>
          <t>Doping affects Si diffusivity. You must adjust other affected parameters, or use the Doping Model.</t>
        </r>
      </text>
    </comment>
    <comment ref="S16" authorId="0" shapeId="0" xr:uid="{00000000-0006-0000-0100-00000E000000}">
      <text>
        <r>
          <rPr>
            <b/>
            <sz val="9"/>
            <color indexed="81"/>
            <rFont val="Tahoma"/>
            <family val="2"/>
          </rPr>
          <t>Very low diffusivity can cause convergence issues. Use cell R15 to insert value for silicon.</t>
        </r>
      </text>
    </comment>
    <comment ref="S17" authorId="0" shapeId="0" xr:uid="{00000000-0006-0000-0100-00000F000000}">
      <text>
        <r>
          <rPr>
            <b/>
            <sz val="9"/>
            <color rgb="FF000000"/>
            <rFont val="Tahoma"/>
            <family val="2"/>
          </rPr>
          <t>Very low diffusivity can cause convergence issues. Use cell R15 to insert value for silicon.</t>
        </r>
      </text>
    </comment>
    <comment ref="S18" authorId="0" shapeId="0" xr:uid="{00000000-0006-0000-0100-000010000000}">
      <text>
        <r>
          <rPr>
            <b/>
            <sz val="9"/>
            <color indexed="81"/>
            <rFont val="Tahoma"/>
            <family val="2"/>
          </rPr>
          <t>Calculated from the doping, diffusiviites, temperature, and intrinsic carrier concentration.</t>
        </r>
      </text>
    </comment>
    <comment ref="S19" authorId="0" shapeId="0" xr:uid="{00000000-0006-0000-0100-000011000000}">
      <text>
        <r>
          <rPr>
            <b/>
            <sz val="9"/>
            <color indexed="81"/>
            <rFont val="Tahoma"/>
            <family val="2"/>
          </rPr>
          <t>Equilibrium concentration of minority carrier, based on doping &amp; intrinsic concentration.</t>
        </r>
      </text>
    </comment>
    <comment ref="A21" authorId="0" shapeId="0" xr:uid="{00000000-0006-0000-0100-000012000000}">
      <text>
        <r>
          <rPr>
            <b/>
            <sz val="9"/>
            <color indexed="81"/>
            <rFont val="Tahoma"/>
            <family val="2"/>
          </rPr>
          <t>Assumed uniform within each surface region. Optical model: DOI:10.1109/JPHOTOV.2018.2882180</t>
        </r>
      </text>
    </comment>
    <comment ref="R21" authorId="0" shapeId="0" xr:uid="{515E12F6-9F87-4D7D-9146-F52BD7055D42}">
      <text>
        <r>
          <rPr>
            <b/>
            <sz val="9"/>
            <color rgb="FF000000"/>
            <rFont val="Tahoma"/>
            <family val="2"/>
          </rPr>
          <t>Spectral transmission is multiplied times the optical transmission for each surface region.</t>
        </r>
      </text>
    </comment>
    <comment ref="S22" authorId="0" shapeId="0" xr:uid="{555B798A-3A39-4FC5-8DB0-83174B6BFA49}">
      <text>
        <r>
          <rPr>
            <b/>
            <sz val="9"/>
            <color indexed="81"/>
            <rFont val="Tahoma"/>
            <family val="2"/>
          </rPr>
          <t>Default values represent relfectance from a textured surface with anti-reflection coating.</t>
        </r>
      </text>
    </comment>
    <comment ref="T22" authorId="0" shapeId="0" xr:uid="{CD58F1B0-3269-4350-92D5-043B75A3F9A6}">
      <text>
        <r>
          <rPr>
            <b/>
            <sz val="9"/>
            <color indexed="81"/>
            <rFont val="Tahoma"/>
            <family val="2"/>
          </rPr>
          <t>Default values represent reflectance from a planar surface with single-layer anti-reflection coating.</t>
        </r>
      </text>
    </comment>
    <comment ref="G24" authorId="0" shapeId="0" xr:uid="{160CB5A5-FC4A-44E9-B37D-284DE0F8D31E}">
      <text>
        <r>
          <rPr>
            <b/>
            <sz val="9"/>
            <color indexed="81"/>
            <rFont val="Tahoma"/>
            <family val="2"/>
          </rPr>
          <t>Fraction of photons incident on each surface region that are neither reflected nor parasitically absorbed.</t>
        </r>
      </text>
    </comment>
    <comment ref="G30" authorId="0" shapeId="0" xr:uid="{544D784F-FE60-4E15-AC34-D1D6894C800E}">
      <text>
        <r>
          <rPr>
            <b/>
            <sz val="9"/>
            <color indexed="81"/>
            <rFont val="Tahoma"/>
            <family val="2"/>
          </rPr>
          <t>Fraction of each surface region that is optically Lambertian rather than planar.</t>
        </r>
      </text>
    </comment>
    <comment ref="G36" authorId="0" shapeId="0" xr:uid="{D6CCBD39-C288-4E2D-A11C-2A1E8916AEE8}">
      <text>
        <r>
          <rPr>
            <b/>
            <sz val="9"/>
            <color indexed="81"/>
            <rFont val="Tahoma"/>
            <family val="2"/>
          </rPr>
          <t>Reflected specular flux = Specular Reflection * (1-Haze) * (near-normal Lambertian flux + specular flux).</t>
        </r>
      </text>
    </comment>
    <comment ref="G42" authorId="0" shapeId="0" xr:uid="{B56EC4C7-040B-41FE-A4B6-E8F8286B01F3}">
      <text>
        <r>
          <rPr>
            <b/>
            <sz val="9"/>
            <color indexed="81"/>
            <rFont val="Tahoma"/>
            <family val="2"/>
          </rPr>
          <t>Reflected diffuse flux =Diffuse Reflectance * (Haze *near-normal flux + all off-normal Lambertian flux).</t>
        </r>
      </text>
    </comment>
    <comment ref="T42" authorId="0" shapeId="0" xr:uid="{00000000-0006-0000-0100-000014000000}">
      <text>
        <r>
          <rPr>
            <b/>
            <sz val="9"/>
            <color indexed="81"/>
            <rFont val="Tahoma"/>
            <family val="2"/>
          </rPr>
          <t>Wavelengths must be in ascending order.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6B7894CA-54B9-4455-B360-4DE70933B8F9}">
      <text>
        <r>
          <rPr>
            <b/>
            <sz val="9"/>
            <color indexed="81"/>
            <rFont val="Tahoma"/>
            <family val="2"/>
          </rPr>
          <t>Carrier lifetime values are assumed uniform throughout the bulk. Use Bulk Defects for local deviations.</t>
        </r>
      </text>
    </comment>
    <comment ref="B2" authorId="0" shapeId="0" xr:uid="{4DA5852A-4A43-43A2-B613-2715A47E2895}">
      <text>
        <r>
          <rPr>
            <b/>
            <sz val="9"/>
            <color indexed="81"/>
            <rFont val="Tahoma"/>
            <family val="2"/>
          </rPr>
          <t>Enter the lifetime of excess electrons at the device temperature and doping density.</t>
        </r>
      </text>
    </comment>
    <comment ref="G2" authorId="0" shapeId="0" xr:uid="{00000000-0006-0000-0200-000002000000}">
      <text>
        <r>
          <rPr>
            <b/>
            <sz val="9"/>
            <color indexed="81"/>
            <rFont val="Tahoma"/>
            <family val="2"/>
          </rPr>
          <t xml:space="preserve">Calculated using diffusivity shown on Device sheet for the minority carrier and minority carrier tau. </t>
        </r>
      </text>
    </comment>
    <comment ref="M2" authorId="0" shapeId="0" xr:uid="{00000000-0006-0000-0200-000003000000}">
      <text>
        <r>
          <rPr>
            <b/>
            <sz val="9"/>
            <color indexed="81"/>
            <rFont val="Tahoma"/>
            <family val="2"/>
          </rPr>
          <t>PC1D value for Si at 25C: 8.56E9 cm-3.</t>
        </r>
      </text>
    </comment>
    <comment ref="B3" authorId="0" shapeId="0" xr:uid="{E2A28B6C-0408-4FE5-ABDF-EDA241AB4F43}">
      <text>
        <r>
          <rPr>
            <b/>
            <sz val="9"/>
            <color indexed="81"/>
            <rFont val="Tahoma"/>
            <family val="2"/>
          </rPr>
          <t>In silicon, hole lifetime is typically about one order of magnitude greater than electcron lifetime.</t>
        </r>
      </text>
    </comment>
    <comment ref="G3" authorId="0" shapeId="0" xr:uid="{00000000-0006-0000-0200-000004000000}">
      <text>
        <r>
          <rPr>
            <b/>
            <sz val="9"/>
            <color indexed="81"/>
            <rFont val="Tahoma"/>
            <family val="2"/>
          </rPr>
          <t>Calculated using the diffusivity for both carriers on the Device sheet and the lifetime of both carriers.</t>
        </r>
      </text>
    </comment>
    <comment ref="M3" authorId="0" shapeId="0" xr:uid="{00000000-0006-0000-0200-000005000000}">
      <text>
        <r>
          <rPr>
            <b/>
            <sz val="9"/>
            <color indexed="81"/>
            <rFont val="Tahoma"/>
            <family val="2"/>
          </rPr>
          <t>Intrinsic recombination rate = Auger Coeff * excess (n^2p + p^2n). The PC1D equivalent is 8.3E-31 cm-6.</t>
        </r>
      </text>
    </comment>
    <comment ref="A5" authorId="0" shapeId="0" xr:uid="{15C67407-9894-4F6A-B726-C80C64ED15FD}">
      <text>
        <r>
          <rPr>
            <b/>
            <sz val="9"/>
            <color rgb="FF000000"/>
            <rFont val="Tahoma"/>
            <family val="2"/>
          </rPr>
          <t>Enter Jo1/Jo2/Gsh at device temperature. They are assumed to be uniform within each surface region.</t>
        </r>
      </text>
    </comment>
    <comment ref="A13" authorId="0" shapeId="0" xr:uid="{0D16C9F0-BCBC-445E-8092-364DE06D58DC}">
      <text>
        <r>
          <rPr>
            <b/>
            <sz val="9"/>
            <color indexed="81"/>
            <rFont val="Tahoma"/>
            <family val="2"/>
          </rPr>
          <t>You can change the defect density by changing the dimensions of the solution volume.</t>
        </r>
      </text>
    </comment>
    <comment ref="E14" authorId="0" shapeId="0" xr:uid="{00000000-0006-0000-0200-000009000000}">
      <text>
        <r>
          <rPr>
            <b/>
            <sz val="9"/>
            <color indexed="81"/>
            <rFont val="Tahoma"/>
            <family val="2"/>
          </rPr>
          <t>The view-orientation of the plane that is normal to the line or plane defect.</t>
        </r>
      </text>
    </comment>
    <comment ref="F14" authorId="0" shapeId="0" xr:uid="{00000000-0006-0000-0200-00000A000000}">
      <text>
        <r>
          <rPr>
            <b/>
            <sz val="9"/>
            <color indexed="81"/>
            <rFont val="Tahoma"/>
            <family val="2"/>
          </rPr>
          <t>Position of the defect from the left side, or extent of the defect across the solution width.</t>
        </r>
      </text>
    </comment>
    <comment ref="G14" authorId="0" shapeId="0" xr:uid="{00000000-0006-0000-0200-00000B000000}">
      <text>
        <r>
          <rPr>
            <b/>
            <sz val="9"/>
            <color rgb="FF000000"/>
            <rFont val="Tahoma"/>
            <family val="2"/>
          </rPr>
          <t>Position of the defect from the front face, or extent of the defect across the solution length.</t>
        </r>
      </text>
    </comment>
    <comment ref="H14" authorId="0" shapeId="0" xr:uid="{00000000-0006-0000-0200-00000C000000}">
      <text>
        <r>
          <rPr>
            <b/>
            <sz val="9"/>
            <color indexed="81"/>
            <rFont val="Tahoma"/>
            <family val="2"/>
          </rPr>
          <t>Position of the defect from the top surface, or extent of the defect across the solution depth.</t>
        </r>
      </text>
    </comment>
    <comment ref="J14" authorId="0" shapeId="0" xr:uid="{00000000-0006-0000-0200-00000D000000}">
      <text>
        <r>
          <rPr>
            <b/>
            <sz val="9"/>
            <color indexed="81"/>
            <rFont val="Tahoma"/>
            <family val="2"/>
          </rPr>
          <t>Defect recombination rate is prefactor times exp(V/nVt)-1. High prefactor values may not converge.</t>
        </r>
      </text>
    </comment>
    <comment ref="L14" authorId="0" shapeId="0" xr:uid="{00000000-0006-0000-0200-00000E000000}">
      <text>
        <r>
          <rPr>
            <b/>
            <sz val="9"/>
            <color rgb="FF000000"/>
            <rFont val="Tahoma"/>
            <family val="2"/>
          </rPr>
          <t>Ideality factor associated with the defect recombination. Large n may cause convergence issues.</t>
        </r>
      </text>
    </comment>
    <comment ref="N14" authorId="0" shapeId="0" xr:uid="{00000000-0006-0000-0200-00000F000000}">
      <text>
        <r>
          <rPr>
            <b/>
            <sz val="9"/>
            <color indexed="81"/>
            <rFont val="Tahoma"/>
            <family val="2"/>
          </rPr>
          <t>Damping=0.5 works in most cases. Set higher for faster solution, if it converges.</t>
        </r>
      </text>
    </comment>
    <comment ref="C15" authorId="0" shapeId="0" xr:uid="{00000000-0006-0000-0200-000010000000}">
      <text>
        <r>
          <rPr>
            <b/>
            <sz val="9"/>
            <color indexed="81"/>
            <rFont val="Tahoma"/>
            <family val="2"/>
          </rPr>
          <t>All point defects activate a 3D solution even in an otherwise 2D device with 2D illumination.</t>
        </r>
      </text>
    </comment>
    <comment ref="C16" authorId="0" shapeId="0" xr:uid="{00000000-0006-0000-0200-000011000000}">
      <text>
        <r>
          <rPr>
            <b/>
            <sz val="9"/>
            <color indexed="81"/>
            <rFont val="Tahoma"/>
            <family val="2"/>
          </rPr>
          <t>A face-oriented line defect with length(%) = 100 is 2D, all others are 3D.</t>
        </r>
      </text>
    </comment>
    <comment ref="C17" authorId="0" shapeId="0" xr:uid="{00000000-0006-0000-0200-000012000000}">
      <text>
        <r>
          <rPr>
            <b/>
            <sz val="9"/>
            <color indexed="81"/>
            <rFont val="Tahoma"/>
            <family val="2"/>
          </rPr>
          <t>A planar defect with side or top orientation and length(%) = 100 is 2D, all others are 3D.</t>
        </r>
      </text>
    </comment>
    <comment ref="A19" authorId="0" shapeId="0" xr:uid="{CB97DF9A-6E93-45D3-AEF3-F54470BEE34B}">
      <text>
        <r>
          <rPr>
            <b/>
            <sz val="9"/>
            <color indexed="81"/>
            <rFont val="Tahoma"/>
            <family val="2"/>
          </rPr>
          <t>External shunting (e.g. wafer edges) can be added to Jo2/Gsh at the non-base-type contact locations.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D2" authorId="0" shapeId="0" xr:uid="{00000000-0006-0000-0300-000001000000}">
      <text>
        <r>
          <rPr>
            <b/>
            <sz val="9"/>
            <color rgb="FF000000"/>
            <rFont val="Tahoma"/>
            <family val="2"/>
          </rPr>
          <t>Restores spectrum table to default values for AM1.5G solar spectrum, silicon absorption, no filter.</t>
        </r>
      </text>
    </comment>
    <comment ref="R2" authorId="0" shapeId="0" xr:uid="{B6CE93CF-59E3-48C0-9E9E-A31B933B13BE}">
      <text>
        <r>
          <rPr>
            <b/>
            <sz val="9"/>
            <color indexed="81"/>
            <rFont val="Tahoma"/>
            <family val="2"/>
          </rPr>
          <t>This graph is schematic only. Use the Illumination plot on the Dashboard sheet for details.</t>
        </r>
      </text>
    </comment>
    <comment ref="B3" authorId="0" shapeId="0" xr:uid="{00000000-0006-0000-0300-000002000000}">
      <text>
        <r>
          <rPr>
            <b/>
            <sz val="9"/>
            <color indexed="81"/>
            <rFont val="Tahoma"/>
            <family val="2"/>
          </rPr>
          <t>Illumination power density where 1 "sun" = 0.1 W/cm2 for AM1.5G. Used if Spectrum is selected.</t>
        </r>
      </text>
    </comment>
    <comment ref="F5" authorId="0" shapeId="0" xr:uid="{00000000-0006-0000-0300-000003000000}">
      <text>
        <r>
          <rPr>
            <b/>
            <sz val="9"/>
            <color indexed="81"/>
            <rFont val="Tahoma"/>
            <family val="2"/>
          </rPr>
          <t>Location of peak illumination from left as a percentage of the solution region width.</t>
        </r>
      </text>
    </comment>
    <comment ref="I5" authorId="0" shapeId="0" xr:uid="{4BA843F2-32F3-4F17-9E43-8DFEB34FAC18}">
      <text>
        <r>
          <rPr>
            <b/>
            <sz val="9"/>
            <color indexed="81"/>
            <rFont val="Tahoma"/>
            <family val="2"/>
          </rPr>
          <t>Location of peak illumination from left as a percentage of the solution region width.</t>
        </r>
      </text>
    </comment>
    <comment ref="B6" authorId="0" shapeId="0" xr:uid="{00000000-0006-0000-0300-000004000000}">
      <text>
        <r>
          <rPr>
            <b/>
            <sz val="9"/>
            <color indexed="81"/>
            <rFont val="Tahoma"/>
            <family val="2"/>
          </rPr>
          <t>Intensity of illumination at the stated wavelength in W/cm2. Used only if Mono is selected.</t>
        </r>
      </text>
    </comment>
    <comment ref="F6" authorId="0" shapeId="0" xr:uid="{00000000-0006-0000-0300-000005000000}">
      <text>
        <r>
          <rPr>
            <b/>
            <sz val="9"/>
            <color indexed="81"/>
            <rFont val="Tahoma"/>
            <family val="2"/>
          </rPr>
          <t>Location of peak illumination from face as a percentage of the solution region length.</t>
        </r>
      </text>
    </comment>
    <comment ref="I6" authorId="0" shapeId="0" xr:uid="{680E3422-3FE0-4561-9C0A-5F6ACA7C4934}">
      <text>
        <r>
          <rPr>
            <b/>
            <sz val="9"/>
            <color indexed="81"/>
            <rFont val="Tahoma"/>
            <family val="2"/>
          </rPr>
          <t>Location of peak illumination from face as a percentage of the solution region length.</t>
        </r>
      </text>
    </comment>
    <comment ref="F7" authorId="0" shapeId="0" xr:uid="{00000000-0006-0000-0300-000006000000}">
      <text>
        <r>
          <rPr>
            <b/>
            <sz val="9"/>
            <color indexed="81"/>
            <rFont val="Tahoma"/>
            <family val="2"/>
          </rPr>
          <t>z&gt;0 replaces surface illumination with a sphere of generation at the designated depth into the bulk.</t>
        </r>
      </text>
    </comment>
    <comment ref="I7" authorId="0" shapeId="0" xr:uid="{4B513C76-3AB3-48A3-B0DF-EB9392725A8F}">
      <text>
        <r>
          <rPr>
            <b/>
            <sz val="9"/>
            <color indexed="81"/>
            <rFont val="Tahoma"/>
            <family val="2"/>
          </rPr>
          <t>z&gt;0 replaces surface illumination with a sphere of generation at the designated depth into the bulk.</t>
        </r>
      </text>
    </comment>
    <comment ref="F8" authorId="0" shapeId="0" xr:uid="{00000000-0006-0000-0300-000008000000}">
      <text>
        <r>
          <rPr>
            <b/>
            <sz val="9"/>
            <color indexed="81"/>
            <rFont val="Tahoma"/>
            <family val="2"/>
          </rPr>
          <t>Diameter of the gaussian illumination or bulk generation, defined at the 1/e limit of intensity.</t>
        </r>
      </text>
    </comment>
    <comment ref="I8" authorId="0" shapeId="0" xr:uid="{E4B0C287-E30C-4DF0-A29B-E6E37D78088A}">
      <text>
        <r>
          <rPr>
            <b/>
            <sz val="9"/>
            <color indexed="81"/>
            <rFont val="Tahoma"/>
            <family val="2"/>
          </rPr>
          <t>Diameter of the gaussian illumination or bulk generation, defined at the 1/e limit of intensity.</t>
        </r>
      </text>
    </comment>
    <comment ref="B9" authorId="0" shapeId="0" xr:uid="{00000000-0006-0000-0300-00000A000000}">
      <text>
        <r>
          <rPr>
            <b/>
            <sz val="9"/>
            <color indexed="81"/>
            <rFont val="Tahoma"/>
            <family val="2"/>
          </rPr>
          <t>Wavelength in vacuum (air), used if Mono is selected.</t>
        </r>
      </text>
    </comment>
    <comment ref="B10" authorId="0" shapeId="0" xr:uid="{00000000-0006-0000-0300-00000B000000}">
      <text>
        <r>
          <rPr>
            <b/>
            <sz val="9"/>
            <color indexed="81"/>
            <rFont val="Tahoma"/>
            <family val="2"/>
          </rPr>
          <t>Enable the front-surface optical filter to account for absorption in the  top cell of a tandem.</t>
        </r>
      </text>
    </comment>
    <comment ref="B11" authorId="0" shapeId="0" xr:uid="{00000000-0006-0000-0300-00000C000000}">
      <text>
        <r>
          <rPr>
            <b/>
            <sz val="9"/>
            <color indexed="81"/>
            <rFont val="Tahoma"/>
            <family val="2"/>
          </rPr>
          <t>Attenuation for energies above the Bandgap but below Bandgap + Absoprtion Edge.</t>
        </r>
      </text>
    </comment>
    <comment ref="B12" authorId="0" shapeId="0" xr:uid="{00000000-0006-0000-0300-00000D000000}">
      <text>
        <r>
          <rPr>
            <b/>
            <sz val="9"/>
            <color indexed="81"/>
            <rFont val="Tahoma"/>
            <family val="2"/>
          </rPr>
          <t>Photon energies above Bandgap + Absorption Edge are fully blocked by the filter.</t>
        </r>
      </text>
    </comment>
    <comment ref="F12" authorId="0" shapeId="0" xr:uid="{00000000-0006-0000-0300-000007000000}">
      <text>
        <r>
          <rPr>
            <b/>
            <sz val="9"/>
            <color indexed="81"/>
            <rFont val="Tahoma"/>
            <family val="2"/>
          </rPr>
          <t>Location of the center of illumination as a percentage of the relevant solution dimension.</t>
        </r>
      </text>
    </comment>
    <comment ref="I12" authorId="0" shapeId="0" xr:uid="{995ACBBE-1FFD-4CDF-A460-C3D3177EECB0}">
      <text>
        <r>
          <rPr>
            <b/>
            <sz val="9"/>
            <color indexed="81"/>
            <rFont val="Tahoma"/>
            <family val="2"/>
          </rPr>
          <t>Location of the center of illumination as a percentage of the relevant solution dimension.</t>
        </r>
      </text>
    </comment>
    <comment ref="B13" authorId="0" shapeId="0" xr:uid="{00000000-0006-0000-0300-000010000000}">
      <text>
        <r>
          <rPr>
            <b/>
            <sz val="9"/>
            <color indexed="81"/>
            <rFont val="Tahoma"/>
            <family val="2"/>
          </rPr>
          <t>Parasitic absorption within the filter for photons having energy less than the Bandgap.</t>
        </r>
      </text>
    </comment>
    <comment ref="F13" authorId="0" shapeId="0" xr:uid="{00000000-0006-0000-0300-000009000000}">
      <text>
        <r>
          <rPr>
            <b/>
            <sz val="9"/>
            <color indexed="81"/>
            <rFont val="Tahoma"/>
            <family val="2"/>
          </rPr>
          <t>Breadth of the line. For Gaussian shape, defined at the 1/e limit of intensity.</t>
        </r>
      </text>
    </comment>
    <comment ref="I13" authorId="0" shapeId="0" xr:uid="{3E685AB6-447A-48E4-9CD2-8B66B6040BE7}">
      <text>
        <r>
          <rPr>
            <b/>
            <sz val="9"/>
            <color indexed="81"/>
            <rFont val="Tahoma"/>
            <family val="2"/>
          </rPr>
          <t>Breadth of the line. For Gaussian shape, defined at the 1/e limit of intensity.</t>
        </r>
      </text>
    </comment>
    <comment ref="A15" authorId="0" shapeId="0" xr:uid="{00000000-0006-0000-0300-000013000000}">
      <text>
        <r>
          <rPr>
            <b/>
            <sz val="9"/>
            <color indexed="81"/>
            <rFont val="Tahoma"/>
            <family val="2"/>
          </rPr>
          <t>Wavelength in vacuum (air). The wavelength in the material is less by the index of refraction.</t>
        </r>
      </text>
    </comment>
    <comment ref="B15" authorId="0" shapeId="0" xr:uid="{00000000-0006-0000-0300-000014000000}">
      <text>
        <r>
          <rPr>
            <b/>
            <sz val="9"/>
            <color indexed="81"/>
            <rFont val="Tahoma"/>
            <family val="2"/>
          </rPr>
          <t>Areal (not spectral) power density assigned to  each wavelength at 1 sun of intensity.</t>
        </r>
      </text>
    </comment>
    <comment ref="C15" authorId="0" shapeId="0" xr:uid="{00000000-0006-0000-0300-000015000000}">
      <text>
        <r>
          <rPr>
            <b/>
            <sz val="9"/>
            <color indexed="81"/>
            <rFont val="Tahoma"/>
            <family val="2"/>
          </rPr>
          <t>Optical absorption coefficient at each wavelength. Adjust to match the material and temperature.</t>
        </r>
      </text>
    </comment>
    <comment ref="D15" authorId="0" shapeId="0" xr:uid="{00000000-0006-0000-0300-000016000000}">
      <text>
        <r>
          <rPr>
            <b/>
            <sz val="9"/>
            <color indexed="81"/>
            <rFont val="Tahoma"/>
            <family val="2"/>
          </rPr>
          <t>Insert values to filter the spectrum, or enable the optical filter parameters above.</t>
        </r>
      </text>
    </comment>
    <comment ref="R16" authorId="0" shapeId="0" xr:uid="{E13180BB-8ADB-45F7-937A-C7B2A648ADA3}">
      <text>
        <r>
          <rPr>
            <b/>
            <sz val="9"/>
            <color indexed="81"/>
            <rFont val="Tahoma"/>
            <family val="2"/>
          </rPr>
          <t>This graph is schematic only. Use the Illumination plot on the Dashboard sheet for details.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0000000-0006-0000-0400-000001000000}">
      <text>
        <r>
          <rPr>
            <b/>
            <sz val="9"/>
            <color indexed="81"/>
            <rFont val="Tahoma"/>
            <family val="2"/>
          </rPr>
          <t>All cells shaded gray are calculated and filled by Visual Basic (VBA) code.</t>
        </r>
      </text>
    </comment>
    <comment ref="D1" authorId="0" shapeId="0" xr:uid="{00000000-0006-0000-0400-000002000000}">
      <text>
        <r>
          <rPr>
            <b/>
            <sz val="9"/>
            <color indexed="81"/>
            <rFont val="Tahoma"/>
            <family val="2"/>
          </rPr>
          <t>The values below are calculated by macros on the Dashboard and used for the graphs shown on that sheet.</t>
        </r>
      </text>
    </comment>
    <comment ref="H1" authorId="0" shapeId="0" xr:uid="{E46F66CB-09CB-4BF2-905D-97A4BEF5631F}">
      <text>
        <r>
          <rPr>
            <b/>
            <sz val="9"/>
            <color indexed="81"/>
            <rFont val="Tahoma"/>
            <family val="2"/>
          </rPr>
          <t>X: length on surface
    Left to Right
Y: length on surface
    Far to Near</t>
        </r>
      </text>
    </comment>
    <comment ref="I1" authorId="0" shapeId="0" xr:uid="{E6BC1E2C-4330-4DAD-82DF-9B0E5F5401E4}">
      <text>
        <r>
          <rPr>
            <b/>
            <sz val="9"/>
            <color indexed="81"/>
            <rFont val="Tahoma"/>
            <family val="2"/>
          </rPr>
          <t>Y: length on surface
    Far to Near
Z: depth into wafer
    Front to Rear</t>
        </r>
      </text>
    </comment>
    <comment ref="J1" authorId="0" shapeId="0" xr:uid="{00000000-0006-0000-0400-000003000000}">
      <text>
        <r>
          <rPr>
            <b/>
            <sz val="9"/>
            <color rgb="FF000000"/>
            <rFont val="Tahoma"/>
            <family val="2"/>
          </rPr>
          <t>Plot name. This plus view, position, min, max, etc. are inserted by Visual Basic code along with the data table.</t>
        </r>
      </text>
    </comment>
    <comment ref="P1" authorId="0" shapeId="0" xr:uid="{64CF47E6-0C85-4EA9-B505-17BEFA4DC974}">
      <text>
        <r>
          <rPr>
            <b/>
            <sz val="9"/>
            <color indexed="81"/>
            <rFont val="Tahoma"/>
            <family val="2"/>
          </rPr>
          <t>The L-R and T-B graphs default to the left column and top row. Select the curve to drag column/row.</t>
        </r>
      </text>
    </comment>
    <comment ref="C4" authorId="0" shapeId="0" xr:uid="{00000000-0006-0000-0400-000005000000}">
      <text>
        <r>
          <rPr>
            <b/>
            <sz val="9"/>
            <color indexed="81"/>
            <rFont val="Tahoma"/>
            <family val="2"/>
          </rPr>
          <t>This first row of I-V data is the calculated max-power point</t>
        </r>
      </text>
    </comment>
    <comment ref="K26" authorId="0" shapeId="0" xr:uid="{0C6C5942-60D9-437E-A2CD-B5657B68D226}">
      <text>
        <r>
          <rPr>
            <b/>
            <sz val="9"/>
            <color indexed="81"/>
            <rFont val="Tahoma"/>
            <family val="2"/>
          </rPr>
          <t>Saves the 3D spatial data for the carrier potentials in a csv file for use with other programs.</t>
        </r>
      </text>
    </comment>
    <comment ref="M46" authorId="0" shapeId="0" xr:uid="{00000000-0006-0000-0400-000006000000}">
      <text>
        <r>
          <rPr>
            <b/>
            <sz val="9"/>
            <color indexed="81"/>
            <rFont val="Tahoma"/>
            <family val="2"/>
          </rPr>
          <t>This cell must remain empty for data chart on Excitation sheet to display correctly.</t>
        </r>
      </text>
    </comment>
    <comment ref="C56" authorId="0" shapeId="0" xr:uid="{00000000-0006-0000-0400-000007000000}">
      <text>
        <r>
          <rPr>
            <b/>
            <sz val="9"/>
            <color indexed="81"/>
            <rFont val="Tahoma"/>
            <family val="2"/>
          </rPr>
          <t>Data calculated in code and used to display the plots shown on the Illumination 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S1" authorId="0" shapeId="0" xr:uid="{EAF9A524-F470-476E-9CE9-3D61E20F4F7E}">
      <text>
        <r>
          <rPr>
            <b/>
            <sz val="9"/>
            <color indexed="81"/>
            <rFont val="Tahoma"/>
            <family val="2"/>
          </rPr>
          <t>The image will be inserted near where you locate the cursor, so you can insert multiple images.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E3" authorId="0" shapeId="0" xr:uid="{26FE3406-C90F-4890-9E05-4059D7C52324}">
      <text>
        <r>
          <rPr>
            <b/>
            <sz val="9"/>
            <color indexed="81"/>
            <rFont val="Tahoma"/>
            <family val="2"/>
          </rPr>
          <t>Optical absortion is shifted in photon energy assuming Eg = Ego - beta* T^2/(T+gamma).</t>
        </r>
      </text>
    </comment>
    <comment ref="I3" authorId="0" shapeId="0" xr:uid="{C149B100-5B78-43D3-BBE9-48C4490EB70B}">
      <text>
        <r>
          <rPr>
            <b/>
            <sz val="9"/>
            <color indexed="81"/>
            <rFont val="Tahoma"/>
            <family val="2"/>
          </rPr>
          <t>Sets tau proportional to kelvin temperature raised to the exponent power.</t>
        </r>
      </text>
    </comment>
    <comment ref="A4" authorId="0" shapeId="0" xr:uid="{9228DBE3-9945-49CB-A242-F5C90266D058}">
      <text>
        <r>
          <rPr>
            <b/>
            <sz val="9"/>
            <color indexed="81"/>
            <rFont val="Tahoma"/>
            <family val="2"/>
          </rPr>
          <t>A parabolic fit of log(ni) vs 1/T is used to interpolate ni as a function of temperature.</t>
        </r>
      </text>
    </comment>
    <comment ref="B4" authorId="0" shapeId="0" xr:uid="{0E48AE25-A895-4A1A-AC93-89AD0953B2D0}">
      <text>
        <r>
          <rPr>
            <b/>
            <sz val="9"/>
            <color indexed="81"/>
            <rFont val="Tahoma"/>
            <family val="2"/>
          </rPr>
          <t>PC1D values for Si are 4.7e4, 1.0e10, and 5.6e12 at 200K, 300K, and 400K, respectively.</t>
        </r>
      </text>
    </comment>
    <comment ref="D4" authorId="0" shapeId="0" xr:uid="{C3D5A0F4-3A99-4E3B-924B-9A1E92674330}">
      <text>
        <r>
          <rPr>
            <b/>
            <sz val="9"/>
            <color indexed="81"/>
            <rFont val="Tahoma"/>
            <family val="2"/>
          </rPr>
          <t>PC1D value for Si is 0.473.</t>
        </r>
      </text>
    </comment>
    <comment ref="K4" authorId="0" shapeId="0" xr:uid="{B52F3B8A-B4E3-4432-91F5-CB1D2E17A8A8}">
      <text>
        <r>
          <rPr>
            <b/>
            <sz val="9"/>
            <color indexed="81"/>
            <rFont val="Tahoma"/>
            <family val="2"/>
          </rPr>
          <t>Default exponent = 2.</t>
        </r>
      </text>
    </comment>
    <comment ref="D5" authorId="0" shapeId="0" xr:uid="{4605A6BE-894B-4C97-8529-8BFE43FA8020}">
      <text>
        <r>
          <rPr>
            <b/>
            <sz val="9"/>
            <color rgb="FF000000"/>
            <rFont val="Tahoma"/>
            <family val="2"/>
          </rPr>
          <t>PC1D value for Si is 636 kelvin.</t>
        </r>
      </text>
    </comment>
    <comment ref="K5" authorId="0" shapeId="0" xr:uid="{916F8672-AE7E-4126-8E78-04472F063ED2}">
      <text>
        <r>
          <rPr>
            <b/>
            <sz val="9"/>
            <color indexed="81"/>
            <rFont val="Tahoma"/>
            <family val="2"/>
          </rPr>
          <t>Default exponent = 1.</t>
        </r>
      </text>
    </comment>
    <comment ref="K6" authorId="0" shapeId="0" xr:uid="{C3345BA5-D567-4729-ABB0-2EAF7FC90D3E}">
      <text>
        <r>
          <rPr>
            <b/>
            <sz val="9"/>
            <color indexed="81"/>
            <rFont val="Tahoma"/>
            <family val="2"/>
          </rPr>
          <t>Default exponent = 0 (i.e. shunting is independent of temperature).</t>
        </r>
      </text>
    </comment>
    <comment ref="B12" authorId="0" shapeId="0" xr:uid="{1E04B48F-A580-4AB4-A36E-621BF3CF8629}">
      <text>
        <r>
          <rPr>
            <b/>
            <sz val="9"/>
            <color rgb="FF000000"/>
            <rFont val="Tahoma"/>
            <family val="2"/>
          </rPr>
          <t>tau-n and tau-p are set proportional to doping raised to the exponent power for doping &gt; onset value.</t>
        </r>
      </text>
    </comment>
    <comment ref="F12" authorId="0" shapeId="0" xr:uid="{8C835071-AF23-4C73-B4D0-1128D6DFBE74}">
      <text>
        <r>
          <rPr>
            <b/>
            <sz val="9"/>
            <color rgb="FF000000"/>
            <rFont val="Tahoma"/>
            <family val="2"/>
          </rPr>
          <t>Jo1 at undoped surfaces is adjusted inversely proportional to [1+ (Ndop/Nref)^alpha]</t>
        </r>
      </text>
    </comment>
    <comment ref="A13" authorId="0" shapeId="0" xr:uid="{4F1570AB-EF94-4D3F-8DFA-EF777C47938A}">
      <text>
        <r>
          <rPr>
            <b/>
            <sz val="9"/>
            <color indexed="81"/>
            <rFont val="Tahoma"/>
            <family val="2"/>
          </rPr>
          <t>Onset depends on impurities, especially oxygen, with more impurities having a lower onset.</t>
        </r>
      </text>
    </comment>
    <comment ref="D13" authorId="0" shapeId="0" xr:uid="{F1BE6D4C-A4B6-40E6-9536-820A9B89B6B6}">
      <text>
        <r>
          <rPr>
            <b/>
            <sz val="9"/>
            <color indexed="81"/>
            <rFont val="Tahoma"/>
            <family val="2"/>
          </rPr>
          <t xml:space="preserve"> 9E15 cm-3 and 0.75 alpha match PC1D calculation for p-type doping with a -1E11 cm-2 surface charge.</t>
        </r>
      </text>
    </comment>
    <comment ref="A14" authorId="0" shapeId="0" xr:uid="{A0BAB746-3F43-4739-80C0-1DBFE8BCE5FB}">
      <text>
        <r>
          <rPr>
            <b/>
            <sz val="9"/>
            <color indexed="81"/>
            <rFont val="Tahoma"/>
            <family val="2"/>
          </rPr>
          <t>Set to 0 for tau-n &amp; tau-p independent of doping. Set to  -0.8 if dominated by boron-oxygen defect.</t>
        </r>
      </text>
    </comment>
    <comment ref="D14" authorId="0" shapeId="0" xr:uid="{45385978-54ED-4CBC-875D-4AD147B1B682}">
      <text>
        <r>
          <rPr>
            <b/>
            <sz val="9"/>
            <color indexed="81"/>
            <rFont val="Tahoma"/>
            <family val="2"/>
          </rPr>
          <t>Set alpha = 0 for fixed Jo1. Set alpha=1 and Nref=ni for constant S (recomb. velocity).</t>
        </r>
      </text>
    </comment>
    <comment ref="A18" authorId="0" shapeId="0" xr:uid="{B327BB6C-9073-43BB-867E-FD343E9B9B13}">
      <text>
        <r>
          <rPr>
            <b/>
            <sz val="9"/>
            <color indexed="81"/>
            <rFont val="Tahoma"/>
            <family val="2"/>
          </rPr>
          <t>Light-generated current per unit of solution region area.</t>
        </r>
      </text>
    </comment>
    <comment ref="D18" authorId="0" shapeId="0" xr:uid="{C5D07085-FC74-4F1A-B48A-E6FA0B62DF6F}">
      <text>
        <r>
          <rPr>
            <b/>
            <sz val="9"/>
            <color indexed="81"/>
            <rFont val="Tahoma"/>
            <family val="2"/>
          </rPr>
          <t>Shunt conductance per unit of solution region area. Constrained to be non-negative.</t>
        </r>
        <r>
          <rPr>
            <sz val="9"/>
            <color indexed="81"/>
            <rFont val="Tahoma"/>
            <family val="2"/>
          </rPr>
          <t xml:space="preserve">
</t>
        </r>
      </text>
    </comment>
    <comment ref="H18" authorId="0" shapeId="0" xr:uid="{20156468-CD38-4CC4-8E2F-6F1ACCB938DD}">
      <text>
        <r>
          <rPr>
            <b/>
            <sz val="9"/>
            <color indexed="81"/>
            <rFont val="Tahoma"/>
            <family val="2"/>
          </rPr>
          <t>Root-mean-square fitting error for the Light-IV or pseudo-IV  curve, including the max-power point.</t>
        </r>
      </text>
    </comment>
    <comment ref="A19" authorId="0" shapeId="0" xr:uid="{090A7D68-0129-43EE-8A65-0D1F0BF5508D}">
      <text>
        <r>
          <rPr>
            <b/>
            <sz val="9"/>
            <color indexed="81"/>
            <rFont val="Tahoma"/>
            <family val="2"/>
          </rPr>
          <t>Prefactor for recombination with diode ideality factor n=1 per unit of solution region area.</t>
        </r>
      </text>
    </comment>
    <comment ref="D19" authorId="0" shapeId="0" xr:uid="{F3C47856-D317-465A-8778-867204614289}">
      <text>
        <r>
          <rPr>
            <b/>
            <sz val="9"/>
            <color indexed="81"/>
            <rFont val="Tahoma"/>
            <family val="2"/>
          </rPr>
          <t>Series resistance normalized to solution region area. Constrained to be non-negative.</t>
        </r>
        <r>
          <rPr>
            <sz val="9"/>
            <color indexed="81"/>
            <rFont val="Tahoma"/>
            <family val="2"/>
          </rPr>
          <t xml:space="preserve">
</t>
        </r>
      </text>
    </comment>
    <comment ref="H19" authorId="0" shapeId="0" xr:uid="{9E5528FD-6991-4015-BFE2-321A40544920}">
      <text>
        <r>
          <rPr>
            <b/>
            <sz val="9"/>
            <color indexed="81"/>
            <rFont val="Tahoma"/>
            <family val="2"/>
          </rPr>
          <t>For Light-IV or pseudo-IV, the max-power of the two-diode circuit model.</t>
        </r>
      </text>
    </comment>
    <comment ref="A20" authorId="0" shapeId="0" xr:uid="{BE923405-1352-449C-893C-E24AA785FF46}">
      <text>
        <r>
          <rPr>
            <b/>
            <sz val="9"/>
            <color indexed="81"/>
            <rFont val="Tahoma"/>
            <family val="2"/>
          </rPr>
          <t>Prefactor for recombination with diode ideality factor n=2 per unit of solution region area.</t>
        </r>
      </text>
    </comment>
    <comment ref="D20" authorId="0" shapeId="0" xr:uid="{A71E9CBD-C0BE-4230-B53E-C151B7FEC7C0}">
      <text>
        <r>
          <rPr>
            <b/>
            <sz val="9"/>
            <color indexed="81"/>
            <rFont val="Tahoma"/>
            <family val="2"/>
          </rPr>
          <t>Device temperature for which the I-V data was generated and for which the circuit parameters apply.</t>
        </r>
      </text>
    </comment>
    <comment ref="H20" authorId="0" shapeId="0" xr:uid="{82E87F86-FC3E-4492-8C1D-5A52221E8A53}">
      <text>
        <r>
          <rPr>
            <b/>
            <sz val="9"/>
            <color indexed="81"/>
            <rFont val="Tahoma"/>
            <family val="2"/>
          </rPr>
          <t>For Light-IV or pseudo-IV, the open-circuit voltage of the two-diode circuit model.</t>
        </r>
      </text>
    </comment>
    <comment ref="B24" authorId="0" shapeId="0" xr:uid="{51C268B2-BC9A-4075-90AE-B22EF083D9D8}">
      <text>
        <r>
          <rPr>
            <b/>
            <sz val="9"/>
            <color indexed="81"/>
            <rFont val="Tahoma"/>
            <family val="2"/>
          </rPr>
          <t>Power available due to photogeneration of electron-hole pairs, prior to the listed power losses.</t>
        </r>
      </text>
    </comment>
    <comment ref="F24" authorId="0" shapeId="0" xr:uid="{E46AE457-6847-4AC3-94DC-E0987CB6FEF5}">
      <text>
        <r>
          <rPr>
            <b/>
            <sz val="9"/>
            <color indexed="81"/>
            <rFont val="Tahoma"/>
            <family val="2"/>
          </rPr>
          <t>R. Brendel, S. Dreissigacker, N. P. Harder, and P. P. Altermatt, Appl. Phys. Lett. (93), 17, 2008.</t>
        </r>
      </text>
    </comment>
    <comment ref="B25" authorId="0" shapeId="0" xr:uid="{A75F974F-851F-47F9-946F-EC8CB72957ED}">
      <text>
        <r>
          <rPr>
            <b/>
            <sz val="9"/>
            <color indexed="81"/>
            <rFont val="Tahoma"/>
            <family val="2"/>
          </rPr>
          <t>Power loss due to recombination of electrons and holes at the surfaces and in the bulk.</t>
        </r>
      </text>
    </comment>
    <comment ref="B26" authorId="0" shapeId="0" xr:uid="{2280E449-54BC-4146-BCF7-7DDB20B9D35D}">
      <text>
        <r>
          <rPr>
            <b/>
            <sz val="9"/>
            <color indexed="81"/>
            <rFont val="Tahoma"/>
            <family val="2"/>
          </rPr>
          <t>Power loss due to conduction within the doped surfaces and from drift and diffusion in the bulk.</t>
        </r>
      </text>
    </comment>
    <comment ref="B27" authorId="0" shapeId="0" xr:uid="{4AB46835-D83F-4C99-B390-15AA95B1D440}">
      <text>
        <r>
          <rPr>
            <b/>
            <sz val="9"/>
            <color indexed="81"/>
            <rFont val="Tahoma"/>
            <family val="2"/>
          </rPr>
          <t>Power loss due to contact resistance and external series resistance.</t>
        </r>
      </text>
    </comment>
    <comment ref="B28" authorId="0" shapeId="0" xr:uid="{7F872B2D-F379-44B2-BEF4-165A0D525EAA}">
      <text>
        <r>
          <rPr>
            <b/>
            <sz val="9"/>
            <color indexed="81"/>
            <rFont val="Tahoma"/>
            <family val="2"/>
          </rPr>
          <t>Generation Power minus Total Losses should equal Pout (to within numeric grid resolution accuracy).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23863A4-CD14-4B14-87B8-29ED48D54D95}">
      <text>
        <r>
          <rPr>
            <b/>
            <sz val="9"/>
            <color indexed="81"/>
            <rFont val="Tahoma"/>
            <family val="2"/>
          </rPr>
          <t>Use this sheet to study the effect of varying a specified spreadsheet cell over a specified range.</t>
        </r>
      </text>
    </comment>
    <comment ref="A4" authorId="0" shapeId="0" xr:uid="{7864E59B-C5E2-48D4-B90A-22A99FAB99B4}">
      <text>
        <r>
          <rPr>
            <b/>
            <sz val="9"/>
            <color rgb="FF000000"/>
            <rFont val="Tahoma"/>
            <family val="2"/>
          </rPr>
          <t>For each value of the variable cell, the selected solution mode is run and the results are stored.</t>
        </r>
      </text>
    </comment>
    <comment ref="C4" authorId="0" shapeId="0" xr:uid="{3D5E3C14-0A7A-43F9-AE07-93180F923BF9}">
      <text>
        <r>
          <rPr>
            <b/>
            <sz val="9"/>
            <color indexed="81"/>
            <rFont val="Tahoma"/>
            <family val="2"/>
          </rPr>
          <t>Identify the variable cell and output cells using the sheet name, !, and cell location (e.g. Device!T15).</t>
        </r>
      </text>
    </comment>
    <comment ref="D4" authorId="0" shapeId="0" xr:uid="{6B8034C0-8CD3-4802-8B6A-5F849859F376}">
      <text>
        <r>
          <rPr>
            <b/>
            <sz val="9"/>
            <color rgb="FF000000"/>
            <rFont val="Tahoma"/>
            <family val="2"/>
          </rPr>
          <t>Clears the output headers in row 5 and the data below them, not the variable cell or values below it.</t>
        </r>
      </text>
    </comment>
    <comment ref="E4" authorId="0" shapeId="0" xr:uid="{50AD3BBB-4738-4ADF-9894-BD81C751844F}">
      <text>
        <r>
          <rPr>
            <b/>
            <sz val="9"/>
            <color indexed="81"/>
            <rFont val="Tahoma"/>
            <family val="2"/>
          </rPr>
          <t>Inserts output cells most related to the Solve mode option: Dashboard!G2:G6</t>
        </r>
      </text>
    </comment>
    <comment ref="F4" authorId="0" shapeId="0" xr:uid="{B3572B59-0638-4601-9CD9-A92746BE0CBE}">
      <text>
        <r>
          <rPr>
            <b/>
            <sz val="9"/>
            <color indexed="81"/>
            <rFont val="Tahoma"/>
            <family val="2"/>
          </rPr>
          <t>Inserts output cells most related to the IV Curve mode option: Dashboard!D10:D13</t>
        </r>
      </text>
    </comment>
    <comment ref="G4" authorId="0" shapeId="0" xr:uid="{B07B4CF0-0AE0-4DF5-89EF-4FE567156583}">
      <text>
        <r>
          <rPr>
            <b/>
            <sz val="9"/>
            <color indexed="81"/>
            <rFont val="Tahoma"/>
            <family val="2"/>
          </rPr>
          <t>Inserts output cells most related to the Spectral mode option: Data!E4:E13 (set EQE increments to 9).</t>
        </r>
      </text>
    </comment>
    <comment ref="C5" authorId="0" shapeId="0" xr:uid="{DC3678C0-4303-4E9D-B392-37336F6F0A3B}">
      <text>
        <r>
          <rPr>
            <b/>
            <sz val="9"/>
            <color rgb="FF000000"/>
            <rFont val="Tahoma"/>
            <family val="2"/>
          </rPr>
          <t>You can enter formulas in the spreadsheet to depend on this input cell's value.</t>
        </r>
      </text>
    </comment>
    <comment ref="A6" authorId="0" shapeId="0" xr:uid="{10BD9F68-99F6-4741-A11E-204B815B248D}">
      <text>
        <r>
          <rPr>
            <b/>
            <sz val="9"/>
            <color rgb="FF000000"/>
            <rFont val="Tahoma"/>
            <family val="2"/>
          </rPr>
          <t>This populates column C with values based on the above parameters. You can also type-in values.</t>
        </r>
      </text>
    </comment>
    <comment ref="A8" authorId="0" shapeId="0" xr:uid="{861ED419-E8AC-40B3-839F-E3B86A713A2B}">
      <text>
        <r>
          <rPr>
            <b/>
            <sz val="9"/>
            <color rgb="FF000000"/>
            <rFont val="Tahoma"/>
            <family val="2"/>
          </rPr>
          <t>First value for the variable cell. For log scaling, may be positive or negative, but may not be zero.</t>
        </r>
      </text>
    </comment>
    <comment ref="A10" authorId="0" shapeId="0" xr:uid="{02FC14DF-DC17-472B-98A3-3041B6FBB518}">
      <text>
        <r>
          <rPr>
            <b/>
            <sz val="9"/>
            <color indexed="81"/>
            <rFont val="Tahoma"/>
            <family val="2"/>
          </rPr>
          <t>Last value for the variable cell. For log scaling, sign must match Start value and neither may be zero.</t>
        </r>
      </text>
    </comment>
    <comment ref="A12" authorId="0" shapeId="0" xr:uid="{1EBCF3FC-DC98-4859-8159-E764E3ADF772}">
      <text>
        <r>
          <rPr>
            <b/>
            <sz val="9"/>
            <color indexed="81"/>
            <rFont val="Tahoma"/>
            <family val="2"/>
          </rPr>
          <t>The number of steps from start value to end value. The number of solutions is intervals plus 1.</t>
        </r>
      </text>
    </comment>
    <comment ref="A14" authorId="0" shapeId="0" xr:uid="{14DA5342-FD63-495E-8AE2-4DC6CE904752}">
      <text>
        <r>
          <rPr>
            <b/>
            <sz val="9"/>
            <color rgb="FF000000"/>
            <rFont val="Tahoma"/>
            <family val="2"/>
          </rPr>
          <t>Values between Start and End are unifomly spaced on either a linear or logarithmic scale.</t>
        </r>
      </text>
    </comment>
    <comment ref="A16" authorId="0" shapeId="0" xr:uid="{565770AF-7B4F-4866-A55D-2791DD96FE1D}">
      <text>
        <r>
          <rPr>
            <b/>
            <sz val="9"/>
            <color rgb="FF000000"/>
            <rFont val="Tahoma"/>
            <family val="2"/>
          </rPr>
          <t>Do not open another Excel spreadsheet during Batch solution, as it will interrupt the run.</t>
        </r>
      </text>
    </comment>
    <comment ref="A19" authorId="0" shapeId="0" xr:uid="{266317A6-4EF9-4A97-B088-F15C9A693C3C}">
      <text>
        <r>
          <rPr>
            <b/>
            <sz val="9"/>
            <color rgb="FF000000"/>
            <rFont val="Tahoma"/>
            <family val="2"/>
          </rPr>
          <t>Clears the output data (D6:M31), but not the headers in row 5 or the Variable Cell values.</t>
        </r>
      </text>
    </comment>
    <comment ref="A21" authorId="0" shapeId="0" xr:uid="{C273267D-05A4-4A41-BCD2-9C32F95B514A}">
      <text>
        <r>
          <rPr>
            <b/>
            <sz val="9"/>
            <color rgb="FF000000"/>
            <rFont val="Tahoma"/>
            <family val="2"/>
          </rPr>
          <t>Clears all user input values on this sheet and the data table.</t>
        </r>
      </text>
    </comment>
    <comment ref="A23" authorId="0" shapeId="0" xr:uid="{9050C3F7-E2E3-471A-92BC-BFF72AB29AD2}">
      <text>
        <r>
          <rPr>
            <b/>
            <sz val="9"/>
            <color indexed="81"/>
            <rFont val="Tahoma"/>
            <family val="2"/>
          </rPr>
          <t>Resets all variables in the PC3D program to recover from an error condition. Same as Dashboard!L4.</t>
        </r>
      </text>
    </comment>
  </commentList>
</comments>
</file>

<file path=xl/sharedStrings.xml><?xml version="1.0" encoding="utf-8"?>
<sst xmlns="http://schemas.openxmlformats.org/spreadsheetml/2006/main" count="509" uniqueCount="317">
  <si>
    <t>Front Surface</t>
  </si>
  <si>
    <t>Rear Surface</t>
  </si>
  <si>
    <t>mm</t>
  </si>
  <si>
    <t>CIRCUIT</t>
  </si>
  <si>
    <t>Area:</t>
  </si>
  <si>
    <t>Width:</t>
  </si>
  <si>
    <t>0=undoped  neg=n-type  pos=p-type</t>
  </si>
  <si>
    <t>SHEET RHO</t>
  </si>
  <si>
    <t>cm-3</t>
  </si>
  <si>
    <t>BULK</t>
  </si>
  <si>
    <t>Resistivity:</t>
  </si>
  <si>
    <t>Hole Diffusivity:</t>
  </si>
  <si>
    <t>Electron Diffusivity:</t>
  </si>
  <si>
    <t>Doping:</t>
  </si>
  <si>
    <t>cm2/s</t>
  </si>
  <si>
    <t>neg=n-type  pos=p-type</t>
  </si>
  <si>
    <t>Transmission</t>
  </si>
  <si>
    <t>Haze</t>
  </si>
  <si>
    <t>Front</t>
  </si>
  <si>
    <t>Rear</t>
  </si>
  <si>
    <t>fA/cm2</t>
  </si>
  <si>
    <t>nA/cm2</t>
  </si>
  <si>
    <t>Gsh</t>
  </si>
  <si>
    <t>mS/cm2</t>
  </si>
  <si>
    <t>ms</t>
  </si>
  <si>
    <t>Intrinsic carrier concentration:</t>
  </si>
  <si>
    <t>Auger recombination coefficient:</t>
  </si>
  <si>
    <t>cm6/s</t>
  </si>
  <si>
    <t>Lambda</t>
  </si>
  <si>
    <t>Enter a description of the device here:</t>
  </si>
  <si>
    <t>Specular Reflectance</t>
  </si>
  <si>
    <t>Diffuse Reflectance</t>
  </si>
  <si>
    <t>tau-n:</t>
  </si>
  <si>
    <t>tau-p:</t>
  </si>
  <si>
    <t>nm wavelength in air</t>
  </si>
  <si>
    <t>SPECTRAL TRANSMISSION</t>
  </si>
  <si>
    <t>└─</t>
  </si>
  <si>
    <r>
      <rPr>
        <sz val="11"/>
        <color theme="1"/>
        <rFont val="Calibri"/>
        <family val="2"/>
      </rPr>
      <t>µ</t>
    </r>
    <r>
      <rPr>
        <sz val="11"/>
        <color theme="1"/>
        <rFont val="Calibri"/>
        <family val="2"/>
        <scheme val="minor"/>
      </rPr>
      <t>m</t>
    </r>
  </si>
  <si>
    <r>
      <rPr>
        <sz val="11"/>
        <color theme="1"/>
        <rFont val="Calibri"/>
        <family val="2"/>
      </rPr>
      <t>µ</t>
    </r>
    <r>
      <rPr>
        <sz val="11"/>
        <color theme="1"/>
        <rFont val="Calibri"/>
        <family val="2"/>
        <scheme val="minor"/>
      </rPr>
      <t>m</t>
    </r>
  </si>
  <si>
    <r>
      <rPr>
        <sz val="11"/>
        <color theme="1"/>
        <rFont val="Calibri"/>
        <family val="2"/>
      </rPr>
      <t>Ω</t>
    </r>
    <r>
      <rPr>
        <sz val="11"/>
        <color theme="1"/>
        <rFont val="Calibri"/>
        <family val="2"/>
        <scheme val="minor"/>
      </rPr>
      <t>cm2</t>
    </r>
  </si>
  <si>
    <r>
      <rPr>
        <sz val="11"/>
        <color theme="1"/>
        <rFont val="Calibri"/>
        <family val="2"/>
      </rPr>
      <t>Ω</t>
    </r>
    <r>
      <rPr>
        <sz val="11"/>
        <color theme="1"/>
        <rFont val="Calibri"/>
        <family val="2"/>
        <scheme val="minor"/>
      </rPr>
      <t>cm</t>
    </r>
  </si>
  <si>
    <t>Ω/□</t>
  </si>
  <si>
    <t>Jo1</t>
  </si>
  <si>
    <t>Jo2</t>
  </si>
  <si>
    <t>SOLUTION VOLUME</t>
  </si>
  <si>
    <t>Mirror symmetric on all four sides</t>
  </si>
  <si>
    <t>fit mm</t>
  </si>
  <si>
    <t>adjust automatically to match the</t>
  </si>
  <si>
    <t>Columns and rows set to "fit" will</t>
  </si>
  <si>
    <t>µs</t>
  </si>
  <si>
    <t>%</t>
  </si>
  <si>
    <t>Contact Voltage:</t>
  </si>
  <si>
    <t>V</t>
  </si>
  <si>
    <t>Generation:</t>
  </si>
  <si>
    <t>V (forward)</t>
  </si>
  <si>
    <t>Recombination:</t>
  </si>
  <si>
    <t>nm</t>
  </si>
  <si>
    <t>MACROS</t>
  </si>
  <si>
    <t>IV Curve</t>
  </si>
  <si>
    <t>Spectral Response</t>
  </si>
  <si>
    <t>Fill Factor</t>
  </si>
  <si>
    <t>PC3D</t>
  </si>
  <si>
    <t>A/cm2</t>
  </si>
  <si>
    <t>A/cm2 (out)</t>
  </si>
  <si>
    <t>W/cm2 (out)</t>
  </si>
  <si>
    <t>Terminal Voltage:</t>
  </si>
  <si>
    <t>Terminal Current:</t>
  </si>
  <si>
    <t>GRAPHICAL OUTPUT</t>
  </si>
  <si>
    <t>W/cm2</t>
  </si>
  <si>
    <t>View:</t>
  </si>
  <si>
    <t>Position:</t>
  </si>
  <si>
    <t>Side</t>
  </si>
  <si>
    <t>Top</t>
  </si>
  <si>
    <t>Input parameter color key:</t>
  </si>
  <si>
    <t>OPTICS</t>
  </si>
  <si>
    <t>Min:</t>
  </si>
  <si>
    <t>Max:</t>
  </si>
  <si>
    <t>DATA</t>
  </si>
  <si>
    <t>Units:</t>
  </si>
  <si>
    <t>EQE</t>
  </si>
  <si>
    <t>Voltage</t>
  </si>
  <si>
    <t>Current</t>
  </si>
  <si>
    <t>Coll Eff</t>
  </si>
  <si>
    <t>Power</t>
  </si>
  <si>
    <t>Material</t>
  </si>
  <si>
    <t>Device</t>
  </si>
  <si>
    <t>Numeric</t>
  </si>
  <si>
    <t>View</t>
  </si>
  <si>
    <t>Units</t>
  </si>
  <si>
    <t>Position(mm)</t>
  </si>
  <si>
    <t>Length:</t>
  </si>
  <si>
    <t>Plane Min</t>
  </si>
  <si>
    <t>Plane Max</t>
  </si>
  <si>
    <t>Volume Min</t>
  </si>
  <si>
    <t>Volume Max</t>
  </si>
  <si>
    <t>Face</t>
  </si>
  <si>
    <t>Increments:</t>
  </si>
  <si>
    <t>Bias:</t>
  </si>
  <si>
    <t>Resolution</t>
  </si>
  <si>
    <t>Minority:</t>
  </si>
  <si>
    <t>Type:</t>
  </si>
  <si>
    <t>Pseudo IV</t>
  </si>
  <si>
    <t>Light IV</t>
  </si>
  <si>
    <t>Dark IV</t>
  </si>
  <si>
    <t>SunsVoc</t>
  </si>
  <si>
    <t>Dark Vmax:</t>
  </si>
  <si>
    <t>Voc:</t>
  </si>
  <si>
    <t>Mono</t>
  </si>
  <si>
    <t>0 = no contact. &gt;0 is contact resistance in mΩcm2</t>
  </si>
  <si>
    <r>
      <t>0 = no contact. &gt;0 is contact resistance in m</t>
    </r>
    <r>
      <rPr>
        <sz val="11"/>
        <color theme="1"/>
        <rFont val="Calibri"/>
        <family val="2"/>
      </rPr>
      <t>Ω</t>
    </r>
    <r>
      <rPr>
        <sz val="11"/>
        <color theme="1"/>
        <rFont val="Calibri"/>
        <family val="2"/>
        <scheme val="minor"/>
      </rPr>
      <t>cm2</t>
    </r>
  </si>
  <si>
    <t>Side:</t>
  </si>
  <si>
    <t>Incrmts:</t>
  </si>
  <si>
    <t>Jsc:</t>
  </si>
  <si>
    <t>Integrated 1-sun Jsc</t>
  </si>
  <si>
    <t>Total</t>
  </si>
  <si>
    <t>None</t>
  </si>
  <si>
    <t>suns</t>
  </si>
  <si>
    <t>Spectrum Intensity</t>
  </si>
  <si>
    <t>Front:</t>
  </si>
  <si>
    <t>Rear:</t>
  </si>
  <si>
    <t>Mono Intensity</t>
  </si>
  <si>
    <t>Alpha</t>
  </si>
  <si>
    <t>Filter</t>
  </si>
  <si>
    <t>Bandgap:</t>
  </si>
  <si>
    <t>eV</t>
  </si>
  <si>
    <t>Absorption Edge:</t>
  </si>
  <si>
    <t>Subgap Absorption:</t>
  </si>
  <si>
    <t>Uniform</t>
  </si>
  <si>
    <t>Point</t>
  </si>
  <si>
    <t>Line</t>
  </si>
  <si>
    <t>Diagonal</t>
  </si>
  <si>
    <t>Direction:</t>
  </si>
  <si>
    <t>Wavelength:</t>
  </si>
  <si>
    <t>W/m2</t>
  </si>
  <si>
    <t>cm-1</t>
  </si>
  <si>
    <t>Shape:</t>
  </si>
  <si>
    <t>UNIFORMITY</t>
  </si>
  <si>
    <t>Position</t>
  </si>
  <si>
    <t>Gaussian</t>
  </si>
  <si>
    <t>Linear</t>
  </si>
  <si>
    <t>SPECTRUM</t>
  </si>
  <si>
    <t>Illumination Uniformity Plots</t>
  </si>
  <si>
    <t>V     Pmax:</t>
  </si>
  <si>
    <t>Efficiency:</t>
  </si>
  <si>
    <t>Illumination:</t>
  </si>
  <si>
    <t>Spectrum</t>
  </si>
  <si>
    <t>BULK RECOMBINATION</t>
  </si>
  <si>
    <t>SURFACE RECOMBINATION</t>
  </si>
  <si>
    <t>BULK DEFECTS</t>
  </si>
  <si>
    <t>SURFACE DEFECTS</t>
  </si>
  <si>
    <t>Point:</t>
  </si>
  <si>
    <t>Line:</t>
  </si>
  <si>
    <t>Plane:</t>
  </si>
  <si>
    <t>Direction</t>
  </si>
  <si>
    <t>N/A</t>
  </si>
  <si>
    <t>n</t>
  </si>
  <si>
    <t>A</t>
  </si>
  <si>
    <t>A/cm</t>
  </si>
  <si>
    <t>PreFactor</t>
  </si>
  <si>
    <t>Enable</t>
  </si>
  <si>
    <t>EXTERNAL RESISTANCE</t>
  </si>
  <si>
    <t>deg C</t>
  </si>
  <si>
    <t>T:</t>
  </si>
  <si>
    <t>Splitting</t>
  </si>
  <si>
    <t>Drift</t>
  </si>
  <si>
    <t>X-axis</t>
  </si>
  <si>
    <t>Y-axis</t>
  </si>
  <si>
    <t>Z-axis</t>
  </si>
  <si>
    <t>Surface:</t>
  </si>
  <si>
    <t>Carrier:</t>
  </si>
  <si>
    <t>Portion:</t>
  </si>
  <si>
    <t>Electron</t>
  </si>
  <si>
    <t>Hole</t>
  </si>
  <si>
    <t>Diffuse</t>
  </si>
  <si>
    <t>Surface</t>
  </si>
  <si>
    <t>Carrier</t>
  </si>
  <si>
    <t>Portion</t>
  </si>
  <si>
    <t>Damping</t>
  </si>
  <si>
    <t>Both</t>
  </si>
  <si>
    <t>Diameter:</t>
  </si>
  <si>
    <t>Filename:</t>
  </si>
  <si>
    <t>Front(%)</t>
  </si>
  <si>
    <t>Rear(%)</t>
  </si>
  <si>
    <t>Scan Data for Dashboard</t>
  </si>
  <si>
    <t>cm2</t>
  </si>
  <si>
    <t>Fast</t>
  </si>
  <si>
    <t>Mode:</t>
  </si>
  <si>
    <t>2D layout</t>
  </si>
  <si>
    <t>3D layout</t>
  </si>
  <si>
    <t>Disable</t>
  </si>
  <si>
    <t>Silicon</t>
  </si>
  <si>
    <t>Manual</t>
  </si>
  <si>
    <t>Accurate</t>
  </si>
  <si>
    <t>Front Optical Filter:</t>
  </si>
  <si>
    <t>V    Mode:</t>
  </si>
  <si>
    <t>Voc</t>
  </si>
  <si>
    <t>Contact</t>
  </si>
  <si>
    <t>LLI</t>
  </si>
  <si>
    <t>HLI</t>
  </si>
  <si>
    <t>LLI/HLI</t>
  </si>
  <si>
    <t>Log</t>
  </si>
  <si>
    <t>Intervals</t>
  </si>
  <si>
    <t>Mode</t>
  </si>
  <si>
    <t>Output Cells</t>
  </si>
  <si>
    <t>Solve</t>
  </si>
  <si>
    <t>Spectral</t>
  </si>
  <si>
    <t>Start</t>
  </si>
  <si>
    <t>End</t>
  </si>
  <si>
    <t>BATCH SOLUTION</t>
  </si>
  <si>
    <t>Hold  &lt;ESC&gt; to exit while solving, select End, the Reset</t>
  </si>
  <si>
    <t>Minority Diffusion Length:</t>
  </si>
  <si>
    <t>Ambipolar Diffusion Length:</t>
  </si>
  <si>
    <t>Description:</t>
  </si>
  <si>
    <t>Variable Cell</t>
  </si>
  <si>
    <t>Scaling</t>
  </si>
  <si>
    <t>Terminal Power:</t>
  </si>
  <si>
    <t>Auto</t>
  </si>
  <si>
    <t>width(%)</t>
  </si>
  <si>
    <t>length(%)</t>
  </si>
  <si>
    <t>depth(%)</t>
  </si>
  <si>
    <t>Orientation</t>
  </si>
  <si>
    <t>Breadth:</t>
  </si>
  <si>
    <t>Center:</t>
  </si>
  <si>
    <t>Box</t>
  </si>
  <si>
    <t>Normalized and Interpolated Tabular Data for Plot on Excitation Sheet</t>
  </si>
  <si>
    <t>Tabular Data for Selected View Plane</t>
  </si>
  <si>
    <t>X center</t>
  </si>
  <si>
    <t>Y center</t>
  </si>
  <si>
    <t>Z center</t>
  </si>
  <si>
    <t>Images are saved in the Excel file, but not in the text file.</t>
  </si>
  <si>
    <t>The values on this sheet are saved in the Excel file, but not in the text file. You can store multiple copies of this sheet in the workbook, but the buttons will only work on this sheet.</t>
  </si>
  <si>
    <t>Orientation:</t>
  </si>
  <si>
    <t>Create a scaled image of the solution variable as currently plotted on the Dashboard across multiple symmetry planes of the device.</t>
  </si>
  <si>
    <t>Hold  &lt;ESC&gt; to exit while solving, then select End. You will have to reset the values in the spreadsheet for the Variable Cell and Contact Voltage, then Reset the program.</t>
  </si>
  <si>
    <t>Convergence Goal:</t>
  </si>
  <si>
    <t>Residual Error:</t>
  </si>
  <si>
    <t>Iteration Counter:</t>
  </si>
  <si>
    <t>Status Indicator:</t>
  </si>
  <si>
    <t>IMAGE</t>
  </si>
  <si>
    <t>Height:</t>
  </si>
  <si>
    <t>solution volume's width and height.</t>
  </si>
  <si>
    <t>Series Resistance:</t>
  </si>
  <si>
    <t>TEMPERATURE MODEL</t>
  </si>
  <si>
    <t>Intrinsic concentration</t>
  </si>
  <si>
    <t>T (kelvin)</t>
  </si>
  <si>
    <t>ni (cm-3)</t>
  </si>
  <si>
    <t>Jo1:</t>
  </si>
  <si>
    <t>Jo2:</t>
  </si>
  <si>
    <t>beta:</t>
  </si>
  <si>
    <t>gamma:</t>
  </si>
  <si>
    <t>kelvin</t>
  </si>
  <si>
    <t>meV/K</t>
  </si>
  <si>
    <t>Surface Recombination</t>
  </si>
  <si>
    <t>Optical absorption</t>
  </si>
  <si>
    <t>Bulk recombination</t>
  </si>
  <si>
    <t>exponent:</t>
  </si>
  <si>
    <t>Gsh:</t>
  </si>
  <si>
    <t>Diffusivity</t>
  </si>
  <si>
    <t>changes with temperature whenever Si model is selected (Device!R15)</t>
  </si>
  <si>
    <t>proportional to ni ^</t>
  </si>
  <si>
    <t>Temperature effects not included in this model: Sheet resistance, Auger recombination, Bulk defects, Contact resistance, Device dimensions, External series resistance, Device optics</t>
  </si>
  <si>
    <t>DOPING MODEL</t>
  </si>
  <si>
    <t>changes with doping whenever Si model is selected (Device!R15)</t>
  </si>
  <si>
    <t>onset:</t>
  </si>
  <si>
    <t>Doping effects not included in this model: Bulk defects, Optical absorption</t>
  </si>
  <si>
    <t>If enabled, any change to device doping (Device!T15) triggers adjustment of material and device parameters using the following model:</t>
  </si>
  <si>
    <t>If enabled, any change to device temperature (Device!O2) triggers adjustment of material and device parameters using the following model:</t>
  </si>
  <si>
    <t>Undoped surface recombination</t>
  </si>
  <si>
    <t>Nref:</t>
  </si>
  <si>
    <t>alpha:</t>
  </si>
  <si>
    <t>X(mm)</t>
  </si>
  <si>
    <t>Created by Paul Basore</t>
  </si>
  <si>
    <t>CIRCUIT MODEL</t>
  </si>
  <si>
    <t>JL:</t>
  </si>
  <si>
    <t>Rs:</t>
  </si>
  <si>
    <t>Temp:</t>
  </si>
  <si>
    <t>ohm-cm2</t>
  </si>
  <si>
    <t>RMS error of curve fit:</t>
  </si>
  <si>
    <t>A minimum of 5 data points are required for the fit</t>
  </si>
  <si>
    <t>Version 1.7    Apr 2020</t>
  </si>
  <si>
    <t>Circuit model Pmax:</t>
  </si>
  <si>
    <t>DarkIV and SunsVoc data are weighted inversely to current-squared</t>
  </si>
  <si>
    <t>Best-fit two-diode circuit model of the currently plotted IV data</t>
  </si>
  <si>
    <t>The example shown is the effect of base doping in PERC 2D with the Doping Model enabled (Models!A11). The electron lifetime (Recombination!C2) and undoped surface Jo1 (Recombination!L7) are displayed.</t>
  </si>
  <si>
    <t>FREE ENERGY LOSS ANALYSIS</t>
  </si>
  <si>
    <t>Bulk:</t>
  </si>
  <si>
    <t>Rseries:</t>
  </si>
  <si>
    <t>Sub-Components</t>
  </si>
  <si>
    <t>Total Losses:</t>
  </si>
  <si>
    <t>Circuit model Voc:</t>
  </si>
  <si>
    <t>Change the circuit parameters to see the impact on Pmax and Voc</t>
  </si>
  <si>
    <t>Transport:</t>
  </si>
  <si>
    <t>Resistance:</t>
  </si>
  <si>
    <t>Power loss components for the current solution (all values in W/cm2)</t>
  </si>
  <si>
    <t>Resolution (2D):</t>
  </si>
  <si>
    <t>Recombination!J7</t>
  </si>
  <si>
    <t>Dashboard!R10</t>
  </si>
  <si>
    <t>Dashboard!T10</t>
  </si>
  <si>
    <t>This is a 2D model of a TOPCOn cell, with  no contacts at the front, used for estimating losses from rear contacts due to metal recombinaiton</t>
  </si>
  <si>
    <t>Z(mm)</t>
  </si>
  <si>
    <t>Photoluminiscence from Dn</t>
  </si>
  <si>
    <t>n0</t>
  </si>
  <si>
    <t>p0</t>
  </si>
  <si>
    <t>alpha(1150)</t>
  </si>
  <si>
    <t>Brad</t>
  </si>
  <si>
    <t>J0met</t>
  </si>
  <si>
    <t>2sun</t>
  </si>
  <si>
    <t>1sun</t>
  </si>
  <si>
    <t>Taus</t>
  </si>
  <si>
    <t>Delta N</t>
  </si>
  <si>
    <t>Recombinaion</t>
  </si>
  <si>
    <t>max</t>
  </si>
  <si>
    <t>min</t>
  </si>
  <si>
    <t>Excess Carriers</t>
  </si>
  <si>
    <t>Non-standard illumination</t>
  </si>
  <si>
    <t>No positive polarity contact</t>
  </si>
  <si>
    <t>samplename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</si>
</sst>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E+00"/>
    <numFmt numFmtId="166" formatCode="0.000"/>
    <numFmt numFmtId="167" formatCode="0.0%"/>
    <numFmt numFmtId="168" formatCode="0.000E+00"/>
    <numFmt numFmtId="169" formatCode="0.0000"/>
    <numFmt numFmtId="170" formatCode="0.000000"/>
    <numFmt numFmtId="171" formatCode="0.0000000"/>
  </numFmts>
  <fonts count="29">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10"/>
      <color theme="1"/>
      <name val="Calibri"/>
      <family val="2"/>
      <scheme val="minor"/>
    </font>
    <font>
      <sz val="11"/>
      <name val="Calibri"/>
      <family val="2"/>
      <scheme val="minor"/>
    </font>
    <font>
      <b/>
      <sz val="12"/>
      <color theme="1"/>
      <name val="Calibri"/>
      <family val="2"/>
      <scheme val="minor"/>
    </font>
    <font>
      <i/>
      <sz val="11"/>
      <color theme="1"/>
      <name val="Calibri"/>
      <family val="2"/>
      <scheme val="minor"/>
    </font>
    <font>
      <b/>
      <sz val="11"/>
      <color theme="1"/>
      <name val="Calibri"/>
      <family val="2"/>
      <scheme val="minor"/>
    </font>
    <font>
      <sz val="11"/>
      <color theme="1"/>
      <name val="Calibri"/>
      <family val="2"/>
    </font>
    <font>
      <sz val="12"/>
      <color theme="1"/>
      <name val="Calibri"/>
      <family val="2"/>
    </font>
    <font>
      <sz val="11"/>
      <color theme="5" tint="-0.499984740745262"/>
      <name val="Calibri"/>
      <family val="2"/>
      <scheme val="minor"/>
    </font>
    <font>
      <b/>
      <sz val="9"/>
      <color indexed="81"/>
      <name val="Tahoma"/>
      <family val="2"/>
    </font>
    <font>
      <sz val="36"/>
      <color theme="0"/>
      <name val="Calibri"/>
      <family val="2"/>
      <scheme val="minor"/>
    </font>
    <font>
      <sz val="11"/>
      <color theme="2"/>
      <name val="Calibri"/>
      <family val="2"/>
      <scheme val="minor"/>
    </font>
    <font>
      <sz val="11"/>
      <color rgb="FF00B0F0"/>
      <name val="Calibri"/>
      <family val="2"/>
      <scheme val="minor"/>
    </font>
    <font>
      <i/>
      <sz val="11"/>
      <color rgb="FFFF0000"/>
      <name val="Calibri"/>
      <family val="2"/>
      <scheme val="minor"/>
    </font>
    <font>
      <sz val="11"/>
      <name val="Calibri"/>
      <family val="2"/>
    </font>
    <font>
      <b/>
      <sz val="11"/>
      <name val="Calibri"/>
      <family val="2"/>
      <scheme val="minor"/>
    </font>
    <font>
      <sz val="8"/>
      <name val="Calibri"/>
      <family val="2"/>
      <scheme val="minor"/>
    </font>
    <font>
      <b/>
      <sz val="11"/>
      <color theme="0"/>
      <name val="Calibri"/>
      <family val="2"/>
      <scheme val="minor"/>
    </font>
    <font>
      <i/>
      <sz val="11"/>
      <name val="Calibri"/>
      <family val="2"/>
      <scheme val="minor"/>
    </font>
    <font>
      <sz val="11"/>
      <color rgb="FF000000"/>
      <name val="Calibri"/>
      <family val="2"/>
    </font>
    <font>
      <sz val="11"/>
      <color rgb="FF000000"/>
      <name val="Calibri"/>
      <family val="2"/>
      <scheme val="minor"/>
    </font>
    <font>
      <i/>
      <sz val="11"/>
      <color theme="0"/>
      <name val="Calibri"/>
      <family val="2"/>
      <scheme val="minor"/>
    </font>
    <font>
      <sz val="9"/>
      <color indexed="81"/>
      <name val="Tahoma"/>
      <family val="2"/>
    </font>
    <font>
      <b/>
      <sz val="9"/>
      <color rgb="FF000000"/>
      <name val="Tahoma"/>
      <family val="2"/>
    </font>
    <font>
      <sz val="11"/>
      <color rgb="FFC00000"/>
      <name val="Calibri"/>
      <family val="2"/>
      <scheme val="minor"/>
    </font>
    <font>
      <sz val="12"/>
      <color rgb="FF000000"/>
      <name val="Lucida Grande"/>
    </font>
  </fonts>
  <fills count="19">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7"/>
        <bgColor indexed="64"/>
      </patternFill>
    </fill>
    <fill>
      <patternFill patternType="solid">
        <fgColor rgb="FFFFC000"/>
        <bgColor indexed="64"/>
      </patternFill>
    </fill>
    <fill>
      <patternFill patternType="solid">
        <fgColor rgb="FFCCFFCC"/>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FFFF50"/>
        <bgColor indexed="64"/>
      </patternFill>
    </fill>
    <fill>
      <patternFill patternType="solid">
        <fgColor theme="8" tint="0.59999389629810485"/>
        <bgColor indexed="64"/>
      </patternFill>
    </fill>
    <fill>
      <patternFill patternType="solid">
        <fgColor theme="6" tint="0.79998168889431442"/>
        <bgColor indexed="64"/>
      </patternFill>
    </fill>
  </fills>
  <borders count="33">
    <border>
      <left/>
      <right/>
      <top/>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medium">
        <color theme="5" tint="0.59996337778862885"/>
      </left>
      <right style="medium">
        <color theme="5" tint="0.59996337778862885"/>
      </right>
      <top style="medium">
        <color theme="5" tint="0.59996337778862885"/>
      </top>
      <bottom style="medium">
        <color theme="5" tint="0.59996337778862885"/>
      </bottom>
      <diagonal/>
    </border>
    <border>
      <left style="medium">
        <color theme="7" tint="0.59996337778862885"/>
      </left>
      <right style="medium">
        <color theme="7" tint="0.59996337778862885"/>
      </right>
      <top style="medium">
        <color theme="7" tint="0.59996337778862885"/>
      </top>
      <bottom style="medium">
        <color theme="7" tint="0.59996337778862885"/>
      </bottom>
      <diagonal/>
    </border>
    <border>
      <left style="medium">
        <color rgb="FFFFFF00"/>
      </left>
      <right style="medium">
        <color rgb="FFFFFF00"/>
      </right>
      <top style="medium">
        <color rgb="FFFFFF00"/>
      </top>
      <bottom style="medium">
        <color rgb="FFFFFF00"/>
      </bottom>
      <diagonal/>
    </border>
    <border>
      <left style="medium">
        <color rgb="FFFFFF00"/>
      </left>
      <right style="medium">
        <color rgb="FFFFFF00"/>
      </right>
      <top/>
      <bottom style="medium">
        <color rgb="FFFFFF00"/>
      </bottom>
      <diagonal/>
    </border>
    <border>
      <left style="thin">
        <color theme="0"/>
      </left>
      <right style="thin">
        <color theme="0"/>
      </right>
      <top style="thin">
        <color theme="0"/>
      </top>
      <bottom style="thin">
        <color theme="0"/>
      </bottom>
      <diagonal/>
    </border>
    <border>
      <left style="medium">
        <color theme="0"/>
      </left>
      <right style="thin">
        <color theme="0"/>
      </right>
      <top/>
      <bottom style="thin">
        <color theme="0"/>
      </bottom>
      <diagonal/>
    </border>
    <border>
      <left style="thin">
        <color theme="0"/>
      </left>
      <right style="thin">
        <color theme="0"/>
      </right>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
      <left/>
      <right/>
      <top style="medium">
        <color rgb="FF00B0F0"/>
      </top>
      <bottom style="medium">
        <color rgb="FF00B0F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4"/>
      </left>
      <right style="medium">
        <color theme="4"/>
      </right>
      <top style="medium">
        <color theme="4"/>
      </top>
      <bottom/>
      <diagonal/>
    </border>
    <border>
      <left style="medium">
        <color theme="4"/>
      </left>
      <right style="medium">
        <color theme="4"/>
      </right>
      <top style="thin">
        <color theme="0"/>
      </top>
      <bottom style="medium">
        <color theme="4"/>
      </bottom>
      <diagonal/>
    </border>
    <border>
      <left/>
      <right/>
      <top style="medium">
        <color theme="8" tint="0.59996337778862885"/>
      </top>
      <bottom/>
      <diagonal/>
    </border>
    <border>
      <left/>
      <right/>
      <top style="thick">
        <color auto="1"/>
      </top>
      <bottom/>
      <diagonal/>
    </border>
    <border>
      <left/>
      <right/>
      <top/>
      <bottom style="thick">
        <color auto="1"/>
      </bottom>
      <diagonal/>
    </border>
  </borders>
  <cellStyleXfs count="2">
    <xf numFmtId="0" fontId="0" fillId="0" borderId="0"/>
    <xf numFmtId="9" fontId="1" fillId="0" borderId="0" applyFont="0" applyFill="0" applyBorder="0" applyAlignment="0" applyProtection="0"/>
  </cellStyleXfs>
  <cellXfs count="246">
    <xf numFmtId="0" fontId="0" fillId="0" borderId="0" xfId="0"/>
    <xf numFmtId="0" fontId="0" fillId="0" borderId="0" xfId="0" applyAlignment="1">
      <alignment horizontal="center"/>
    </xf>
    <xf numFmtId="0" fontId="0" fillId="3" borderId="0" xfId="0" applyFill="1"/>
    <xf numFmtId="0" fontId="3" fillId="3" borderId="0" xfId="0" applyFont="1" applyFill="1" applyAlignment="1">
      <alignment horizontal="center"/>
    </xf>
    <xf numFmtId="11" fontId="0" fillId="0" borderId="0" xfId="0" applyNumberFormat="1"/>
    <xf numFmtId="2" fontId="0" fillId="2" borderId="0" xfId="0" applyNumberFormat="1" applyFill="1" applyProtection="1">
      <protection locked="0"/>
    </xf>
    <xf numFmtId="1" fontId="0" fillId="2" borderId="0" xfId="0" applyNumberFormat="1" applyFill="1" applyProtection="1">
      <protection locked="0"/>
    </xf>
    <xf numFmtId="0" fontId="0" fillId="0" borderId="0" xfId="0" applyProtection="1">
      <protection locked="0"/>
    </xf>
    <xf numFmtId="164" fontId="0" fillId="0" borderId="0" xfId="0" applyNumberFormat="1" applyProtection="1">
      <protection locked="0"/>
    </xf>
    <xf numFmtId="166" fontId="0" fillId="0" borderId="0" xfId="0" applyNumberFormat="1" applyProtection="1">
      <protection locked="0"/>
    </xf>
    <xf numFmtId="0" fontId="0" fillId="0" borderId="0" xfId="0" applyAlignment="1" applyProtection="1">
      <alignment vertical="top"/>
      <protection locked="0"/>
    </xf>
    <xf numFmtId="0" fontId="11" fillId="5" borderId="0" xfId="0" applyFont="1" applyFill="1" applyProtection="1">
      <protection locked="0"/>
    </xf>
    <xf numFmtId="166" fontId="0" fillId="0" borderId="0" xfId="0" applyNumberFormat="1"/>
    <xf numFmtId="0" fontId="5" fillId="0" borderId="0" xfId="0" applyFont="1" applyAlignment="1">
      <alignment horizontal="center"/>
    </xf>
    <xf numFmtId="167" fontId="0" fillId="0" borderId="0" xfId="1" applyNumberFormat="1" applyFont="1" applyProtection="1">
      <protection locked="0"/>
    </xf>
    <xf numFmtId="168" fontId="0" fillId="0" borderId="0" xfId="0" applyNumberFormat="1"/>
    <xf numFmtId="166" fontId="0" fillId="0" borderId="0" xfId="0" applyNumberFormat="1" applyAlignment="1">
      <alignment horizontal="center"/>
    </xf>
    <xf numFmtId="11" fontId="5" fillId="8" borderId="0" xfId="0" applyNumberFormat="1" applyFont="1" applyFill="1" applyProtection="1">
      <protection locked="0"/>
    </xf>
    <xf numFmtId="11" fontId="0" fillId="8" borderId="0" xfId="0" applyNumberFormat="1" applyFill="1"/>
    <xf numFmtId="11" fontId="0" fillId="8" borderId="0" xfId="0" applyNumberFormat="1" applyFill="1" applyAlignment="1">
      <alignment horizontal="center"/>
    </xf>
    <xf numFmtId="166" fontId="0" fillId="8" borderId="0" xfId="0" applyNumberFormat="1" applyFill="1"/>
    <xf numFmtId="166" fontId="5" fillId="8" borderId="0" xfId="0" applyNumberFormat="1" applyFont="1" applyFill="1"/>
    <xf numFmtId="0" fontId="5" fillId="8" borderId="0" xfId="0" applyFont="1" applyFill="1" applyProtection="1">
      <protection locked="0"/>
    </xf>
    <xf numFmtId="166" fontId="0" fillId="8" borderId="0" xfId="0" applyNumberFormat="1" applyFill="1" applyAlignment="1">
      <alignment horizontal="center"/>
    </xf>
    <xf numFmtId="11" fontId="0" fillId="8" borderId="0" xfId="0" applyNumberFormat="1" applyFill="1" applyAlignment="1" applyProtection="1">
      <alignment horizontal="center"/>
      <protection locked="0"/>
    </xf>
    <xf numFmtId="11" fontId="0" fillId="0" borderId="0" xfId="0" applyNumberFormat="1" applyAlignment="1">
      <alignment horizontal="center"/>
    </xf>
    <xf numFmtId="0" fontId="5" fillId="0" borderId="0" xfId="0" applyFont="1" applyAlignment="1" applyProtection="1">
      <alignment horizontal="center"/>
      <protection locked="0"/>
    </xf>
    <xf numFmtId="0" fontId="5" fillId="0" borderId="0" xfId="0" applyFont="1" applyAlignment="1" applyProtection="1">
      <alignment horizontal="center" vertical="center"/>
      <protection locked="0"/>
    </xf>
    <xf numFmtId="0" fontId="5" fillId="8" borderId="0" xfId="0" applyFont="1" applyFill="1" applyAlignment="1" applyProtection="1">
      <alignment horizontal="center" vertical="center"/>
      <protection locked="0"/>
    </xf>
    <xf numFmtId="0" fontId="5" fillId="15" borderId="0" xfId="0" applyFont="1" applyFill="1" applyAlignment="1" applyProtection="1">
      <alignment horizontal="center"/>
      <protection locked="0"/>
    </xf>
    <xf numFmtId="168" fontId="0" fillId="0" borderId="0" xfId="0" applyNumberFormat="1" applyAlignment="1">
      <alignment horizontal="center"/>
    </xf>
    <xf numFmtId="164" fontId="5" fillId="8" borderId="0" xfId="1" applyNumberFormat="1" applyFont="1" applyFill="1" applyProtection="1">
      <protection locked="0"/>
    </xf>
    <xf numFmtId="0" fontId="0" fillId="0" borderId="0" xfId="0" applyAlignment="1" applyProtection="1">
      <alignment horizontal="right"/>
      <protection locked="0"/>
    </xf>
    <xf numFmtId="0" fontId="3" fillId="0" borderId="0" xfId="0" applyFont="1" applyProtection="1">
      <protection locked="0"/>
    </xf>
    <xf numFmtId="0" fontId="18" fillId="11" borderId="0" xfId="0" applyFont="1" applyFill="1" applyAlignment="1" applyProtection="1">
      <alignment horizontal="center"/>
      <protection locked="0"/>
    </xf>
    <xf numFmtId="0" fontId="5" fillId="11" borderId="0" xfId="0" applyFont="1" applyFill="1" applyAlignment="1" applyProtection="1">
      <alignment horizontal="center"/>
      <protection locked="0"/>
    </xf>
    <xf numFmtId="0" fontId="5" fillId="13" borderId="0" xfId="0" applyFont="1" applyFill="1" applyAlignment="1" applyProtection="1">
      <alignment horizontal="center"/>
      <protection locked="0"/>
    </xf>
    <xf numFmtId="0" fontId="18" fillId="13" borderId="0" xfId="0" applyFont="1" applyFill="1" applyAlignment="1" applyProtection="1">
      <alignment horizontal="center"/>
      <protection locked="0"/>
    </xf>
    <xf numFmtId="11" fontId="0" fillId="8" borderId="0" xfId="0" applyNumberFormat="1" applyFill="1" applyProtection="1">
      <protection locked="0"/>
    </xf>
    <xf numFmtId="0" fontId="0" fillId="11" borderId="0" xfId="0" applyFill="1" applyAlignment="1" applyProtection="1">
      <alignment horizontal="center" vertical="top"/>
      <protection locked="0"/>
    </xf>
    <xf numFmtId="0" fontId="0" fillId="13" borderId="0" xfId="0" applyFill="1" applyAlignment="1" applyProtection="1">
      <alignment horizontal="center" vertical="top"/>
      <protection locked="0"/>
    </xf>
    <xf numFmtId="0" fontId="0" fillId="15" borderId="0" xfId="0" applyFill="1" applyAlignment="1" applyProtection="1">
      <alignment horizontal="center" vertical="top"/>
      <protection locked="0"/>
    </xf>
    <xf numFmtId="0" fontId="0" fillId="9" borderId="0" xfId="0" applyFill="1" applyAlignment="1" applyProtection="1">
      <alignment horizontal="center" vertical="top"/>
      <protection locked="0"/>
    </xf>
    <xf numFmtId="0" fontId="0" fillId="11" borderId="0" xfId="0" applyFill="1" applyAlignment="1" applyProtection="1">
      <alignment horizontal="center"/>
      <protection locked="0"/>
    </xf>
    <xf numFmtId="0" fontId="0" fillId="13" borderId="0" xfId="0" applyFill="1" applyAlignment="1" applyProtection="1">
      <alignment horizontal="center"/>
      <protection locked="0"/>
    </xf>
    <xf numFmtId="0" fontId="0" fillId="9" borderId="0" xfId="0" applyFill="1" applyAlignment="1" applyProtection="1">
      <alignment horizontal="right"/>
      <protection locked="0"/>
    </xf>
    <xf numFmtId="0" fontId="5" fillId="11" borderId="0" xfId="0" quotePrefix="1" applyFont="1" applyFill="1" applyAlignment="1" applyProtection="1">
      <alignment horizontal="center"/>
      <protection locked="0"/>
    </xf>
    <xf numFmtId="0" fontId="5" fillId="14" borderId="0" xfId="0" applyFont="1" applyFill="1" applyAlignment="1" applyProtection="1">
      <alignment horizontal="center"/>
      <protection locked="0"/>
    </xf>
    <xf numFmtId="0" fontId="5" fillId="9" borderId="0" xfId="0" applyFont="1" applyFill="1" applyAlignment="1" applyProtection="1">
      <alignment horizontal="right"/>
      <protection locked="0"/>
    </xf>
    <xf numFmtId="11" fontId="0" fillId="0" borderId="0" xfId="0" applyNumberFormat="1" applyProtection="1">
      <protection locked="0"/>
    </xf>
    <xf numFmtId="0" fontId="2" fillId="0" borderId="0" xfId="0" applyFont="1" applyProtection="1">
      <protection locked="0"/>
    </xf>
    <xf numFmtId="0" fontId="5" fillId="0" borderId="0" xfId="0" applyFont="1" applyProtection="1">
      <protection locked="0"/>
    </xf>
    <xf numFmtId="0" fontId="0" fillId="3" borderId="0" xfId="0" applyFill="1" applyProtection="1">
      <protection locked="0"/>
    </xf>
    <xf numFmtId="1" fontId="0" fillId="2" borderId="0" xfId="0" applyNumberFormat="1" applyFill="1" applyAlignment="1" applyProtection="1">
      <alignment horizontal="center"/>
      <protection locked="0"/>
    </xf>
    <xf numFmtId="0" fontId="0" fillId="6" borderId="0" xfId="0" applyFill="1" applyAlignment="1" applyProtection="1">
      <alignment horizontal="center"/>
      <protection locked="0"/>
    </xf>
    <xf numFmtId="0" fontId="5" fillId="7" borderId="0" xfId="0" applyFont="1" applyFill="1" applyAlignment="1" applyProtection="1">
      <alignment horizontal="center"/>
      <protection locked="0"/>
    </xf>
    <xf numFmtId="0" fontId="8" fillId="0" borderId="0" xfId="0" applyFont="1" applyAlignment="1" applyProtection="1">
      <alignment horizontal="right"/>
      <protection locked="0"/>
    </xf>
    <xf numFmtId="0" fontId="7" fillId="0" borderId="0" xfId="0" applyFont="1" applyProtection="1">
      <protection locked="0"/>
    </xf>
    <xf numFmtId="0" fontId="8" fillId="0" borderId="0" xfId="0" applyFont="1" applyProtection="1">
      <protection locked="0"/>
    </xf>
    <xf numFmtId="0" fontId="0" fillId="0" borderId="0" xfId="0" quotePrefix="1" applyAlignment="1" applyProtection="1">
      <alignment horizontal="right"/>
      <protection locked="0"/>
    </xf>
    <xf numFmtId="11" fontId="0" fillId="0" borderId="0" xfId="0" applyNumberFormat="1" applyAlignment="1" applyProtection="1">
      <alignment horizontal="left"/>
      <protection locked="0"/>
    </xf>
    <xf numFmtId="0" fontId="5" fillId="0" borderId="0" xfId="0" quotePrefix="1" applyFont="1" applyAlignment="1" applyProtection="1">
      <alignment vertical="top"/>
      <protection locked="0"/>
    </xf>
    <xf numFmtId="0" fontId="5" fillId="0" borderId="0" xfId="0" quotePrefix="1" applyFont="1" applyProtection="1">
      <protection locked="0"/>
    </xf>
    <xf numFmtId="11" fontId="16" fillId="0" borderId="0" xfId="0" applyNumberFormat="1" applyFont="1" applyAlignment="1" applyProtection="1">
      <alignment horizontal="center"/>
      <protection locked="0"/>
    </xf>
    <xf numFmtId="0" fontId="5" fillId="3" borderId="0" xfId="0" applyFont="1" applyFill="1" applyProtection="1">
      <protection locked="0"/>
    </xf>
    <xf numFmtId="0" fontId="15" fillId="3" borderId="0" xfId="0" applyFont="1" applyFill="1" applyProtection="1">
      <protection locked="0"/>
    </xf>
    <xf numFmtId="0" fontId="2" fillId="0" borderId="0" xfId="0" applyFont="1" applyAlignment="1" applyProtection="1">
      <alignment horizontal="center"/>
      <protection locked="0"/>
    </xf>
    <xf numFmtId="0" fontId="6" fillId="0" borderId="0" xfId="0" applyFont="1" applyProtection="1">
      <protection locked="0"/>
    </xf>
    <xf numFmtId="0" fontId="4" fillId="3" borderId="0" xfId="0" applyFont="1" applyFill="1" applyAlignment="1" applyProtection="1">
      <alignment horizontal="center"/>
      <protection locked="0"/>
    </xf>
    <xf numFmtId="0" fontId="3" fillId="3" borderId="0" xfId="0" applyFont="1" applyFill="1" applyAlignment="1" applyProtection="1">
      <alignment horizontal="center"/>
      <protection locked="0"/>
    </xf>
    <xf numFmtId="0" fontId="10" fillId="0" borderId="0" xfId="0" applyFont="1" applyProtection="1">
      <protection locked="0"/>
    </xf>
    <xf numFmtId="0" fontId="0" fillId="0" borderId="0" xfId="0" applyAlignment="1" applyProtection="1">
      <alignment horizontal="center"/>
      <protection locked="0"/>
    </xf>
    <xf numFmtId="0" fontId="14" fillId="0" borderId="0" xfId="0" applyFont="1" applyProtection="1">
      <protection locked="0"/>
    </xf>
    <xf numFmtId="0" fontId="9" fillId="0" borderId="0" xfId="0" applyFont="1" applyAlignment="1" applyProtection="1">
      <alignment horizontal="right"/>
      <protection locked="0"/>
    </xf>
    <xf numFmtId="0" fontId="17" fillId="0" borderId="0" xfId="0" applyFont="1" applyAlignment="1" applyProtection="1">
      <alignment horizontal="center"/>
      <protection locked="0"/>
    </xf>
    <xf numFmtId="0" fontId="8" fillId="0" borderId="0" xfId="0" applyFont="1" applyAlignment="1" applyProtection="1">
      <alignment horizontal="center"/>
      <protection locked="0"/>
    </xf>
    <xf numFmtId="11" fontId="15" fillId="3" borderId="0" xfId="0" applyNumberFormat="1" applyFont="1" applyFill="1" applyProtection="1">
      <protection locked="0"/>
    </xf>
    <xf numFmtId="0" fontId="8" fillId="0" borderId="0" xfId="0" applyFont="1" applyAlignment="1" applyProtection="1">
      <alignment horizontal="left"/>
      <protection locked="0"/>
    </xf>
    <xf numFmtId="0" fontId="0" fillId="12" borderId="0" xfId="0" applyFill="1" applyProtection="1">
      <protection locked="0"/>
    </xf>
    <xf numFmtId="0" fontId="0" fillId="12" borderId="0" xfId="0" applyFill="1" applyAlignment="1" applyProtection="1">
      <alignment horizontal="left"/>
      <protection locked="0"/>
    </xf>
    <xf numFmtId="0" fontId="5" fillId="3" borderId="0" xfId="0" applyFont="1" applyFill="1" applyAlignment="1">
      <alignment horizontal="right"/>
    </xf>
    <xf numFmtId="169" fontId="0" fillId="8" borderId="0" xfId="0" applyNumberFormat="1" applyFill="1" applyProtection="1">
      <protection locked="0"/>
    </xf>
    <xf numFmtId="2" fontId="0" fillId="16" borderId="0" xfId="0" applyNumberFormat="1" applyFill="1" applyAlignment="1" applyProtection="1">
      <alignment horizontal="center"/>
      <protection locked="0"/>
    </xf>
    <xf numFmtId="2" fontId="0" fillId="16" borderId="0" xfId="0" applyNumberFormat="1" applyFill="1" applyProtection="1">
      <protection locked="0"/>
    </xf>
    <xf numFmtId="11" fontId="0" fillId="3" borderId="0" xfId="0" applyNumberFormat="1" applyFill="1" applyProtection="1">
      <protection locked="0"/>
    </xf>
    <xf numFmtId="0" fontId="3" fillId="3" borderId="0" xfId="0" applyFont="1" applyFill="1" applyProtection="1">
      <protection locked="0"/>
    </xf>
    <xf numFmtId="0" fontId="0" fillId="2" borderId="6" xfId="1" applyNumberFormat="1" applyFont="1" applyFill="1" applyBorder="1" applyAlignment="1" applyProtection="1">
      <alignment horizontal="center"/>
      <protection locked="0"/>
    </xf>
    <xf numFmtId="0" fontId="0" fillId="2" borderId="7"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6"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 borderId="12" xfId="0" applyFill="1" applyBorder="1" applyAlignment="1" applyProtection="1">
      <alignment horizontal="center"/>
      <protection locked="0"/>
    </xf>
    <xf numFmtId="0" fontId="0" fillId="2" borderId="13" xfId="0" applyFill="1" applyBorder="1" applyAlignment="1" applyProtection="1">
      <alignment horizontal="center"/>
      <protection locked="0"/>
    </xf>
    <xf numFmtId="0" fontId="0" fillId="2" borderId="8" xfId="1" applyNumberFormat="1" applyFont="1" applyFill="1" applyBorder="1" applyAlignment="1" applyProtection="1">
      <alignment horizontal="center"/>
      <protection locked="0"/>
    </xf>
    <xf numFmtId="0" fontId="0" fillId="2" borderId="6" xfId="0" applyFill="1" applyBorder="1" applyProtection="1">
      <protection locked="0"/>
    </xf>
    <xf numFmtId="0" fontId="0" fillId="0" borderId="6" xfId="0" applyBorder="1" applyAlignment="1" applyProtection="1">
      <alignment horizontal="center"/>
      <protection locked="0"/>
    </xf>
    <xf numFmtId="11" fontId="0" fillId="2" borderId="6" xfId="0" applyNumberFormat="1" applyFill="1" applyBorder="1" applyProtection="1">
      <protection locked="0"/>
    </xf>
    <xf numFmtId="0" fontId="0" fillId="13" borderId="6" xfId="0" applyFill="1" applyBorder="1" applyAlignment="1" applyProtection="1">
      <alignment horizontal="center"/>
      <protection locked="0"/>
    </xf>
    <xf numFmtId="11" fontId="11" fillId="5" borderId="6" xfId="0" applyNumberFormat="1" applyFont="1" applyFill="1" applyBorder="1" applyProtection="1">
      <protection locked="0"/>
    </xf>
    <xf numFmtId="0" fontId="0" fillId="2" borderId="8" xfId="0" applyFill="1" applyBorder="1" applyProtection="1">
      <protection locked="0"/>
    </xf>
    <xf numFmtId="1" fontId="0" fillId="4" borderId="6" xfId="0" applyNumberFormat="1" applyFill="1" applyBorder="1" applyProtection="1">
      <protection locked="0"/>
    </xf>
    <xf numFmtId="1" fontId="0" fillId="4" borderId="8" xfId="0" applyNumberFormat="1" applyFill="1" applyBorder="1" applyProtection="1">
      <protection locked="0"/>
    </xf>
    <xf numFmtId="11" fontId="11" fillId="5" borderId="8" xfId="0" applyNumberFormat="1" applyFont="1" applyFill="1" applyBorder="1" applyProtection="1">
      <protection locked="0"/>
    </xf>
    <xf numFmtId="0" fontId="0" fillId="3" borderId="0" xfId="0" applyFill="1" applyAlignment="1" applyProtection="1">
      <alignment horizontal="left"/>
      <protection locked="0"/>
    </xf>
    <xf numFmtId="164" fontId="0" fillId="6" borderId="6" xfId="0" applyNumberFormat="1" applyFill="1" applyBorder="1" applyProtection="1">
      <protection locked="0"/>
    </xf>
    <xf numFmtId="2" fontId="0" fillId="8" borderId="6" xfId="0" applyNumberFormat="1" applyFill="1" applyBorder="1" applyProtection="1">
      <protection locked="0"/>
    </xf>
    <xf numFmtId="0" fontId="5" fillId="3" borderId="0" xfId="0" applyFont="1" applyFill="1" applyAlignment="1" applyProtection="1">
      <alignment horizontal="left"/>
      <protection locked="0"/>
    </xf>
    <xf numFmtId="0" fontId="0" fillId="6" borderId="6" xfId="0" applyFill="1" applyBorder="1" applyProtection="1">
      <protection locked="0"/>
    </xf>
    <xf numFmtId="11" fontId="0" fillId="8" borderId="6" xfId="0" applyNumberFormat="1" applyFill="1" applyBorder="1" applyProtection="1">
      <protection locked="0"/>
    </xf>
    <xf numFmtId="164" fontId="0" fillId="8" borderId="6" xfId="0" applyNumberFormat="1" applyFill="1" applyBorder="1" applyProtection="1">
      <protection locked="0"/>
    </xf>
    <xf numFmtId="11" fontId="5" fillId="8" borderId="6" xfId="0" applyNumberFormat="1" applyFont="1" applyFill="1" applyBorder="1" applyProtection="1">
      <protection locked="0"/>
    </xf>
    <xf numFmtId="166" fontId="5" fillId="8" borderId="6" xfId="0" applyNumberFormat="1" applyFont="1" applyFill="1" applyBorder="1" applyProtection="1">
      <protection locked="0"/>
    </xf>
    <xf numFmtId="165" fontId="0" fillId="8" borderId="6" xfId="0" applyNumberFormat="1" applyFill="1" applyBorder="1" applyProtection="1">
      <protection locked="0"/>
    </xf>
    <xf numFmtId="0" fontId="0" fillId="8" borderId="6" xfId="0" applyFill="1" applyBorder="1" applyProtection="1">
      <protection locked="0"/>
    </xf>
    <xf numFmtId="0" fontId="0" fillId="8" borderId="6" xfId="0" applyFill="1" applyBorder="1" applyAlignment="1" applyProtection="1">
      <alignment horizontal="center"/>
      <protection locked="0"/>
    </xf>
    <xf numFmtId="11" fontId="0" fillId="8" borderId="6" xfId="0" applyNumberFormat="1" applyFill="1" applyBorder="1" applyAlignment="1" applyProtection="1">
      <alignment horizontal="center"/>
      <protection locked="0"/>
    </xf>
    <xf numFmtId="0" fontId="0" fillId="2" borderId="8" xfId="0" applyFill="1" applyBorder="1" applyAlignment="1" applyProtection="1">
      <alignment horizontal="center"/>
      <protection locked="0"/>
    </xf>
    <xf numFmtId="166" fontId="0" fillId="6" borderId="6" xfId="0" applyNumberFormat="1" applyFill="1" applyBorder="1" applyProtection="1">
      <protection locked="0"/>
    </xf>
    <xf numFmtId="11" fontId="0" fillId="6" borderId="6" xfId="0" applyNumberFormat="1" applyFill="1" applyBorder="1" applyProtection="1">
      <protection locked="0"/>
    </xf>
    <xf numFmtId="164" fontId="0" fillId="6" borderId="6" xfId="1" applyNumberFormat="1" applyFont="1" applyFill="1" applyBorder="1" applyProtection="1">
      <protection locked="0"/>
    </xf>
    <xf numFmtId="0" fontId="3" fillId="3" borderId="14" xfId="0" applyFont="1" applyFill="1" applyBorder="1" applyAlignment="1" applyProtection="1">
      <alignment horizontal="center"/>
      <protection locked="0"/>
    </xf>
    <xf numFmtId="0" fontId="3" fillId="3" borderId="8" xfId="0" applyFont="1" applyFill="1" applyBorder="1" applyAlignment="1" applyProtection="1">
      <alignment horizontal="center"/>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Protection="1">
      <protection locked="0"/>
    </xf>
    <xf numFmtId="166" fontId="5" fillId="10" borderId="6" xfId="0" applyNumberFormat="1" applyFont="1" applyFill="1" applyBorder="1" applyAlignment="1">
      <alignment horizontal="center"/>
    </xf>
    <xf numFmtId="11" fontId="5" fillId="10" borderId="6" xfId="0" applyNumberFormat="1" applyFont="1" applyFill="1" applyBorder="1" applyAlignment="1" applyProtection="1">
      <alignment horizontal="center"/>
      <protection locked="0"/>
    </xf>
    <xf numFmtId="166" fontId="0" fillId="8" borderId="6" xfId="0" applyNumberFormat="1" applyFill="1" applyBorder="1" applyAlignment="1" applyProtection="1">
      <alignment horizontal="center"/>
      <protection locked="0"/>
    </xf>
    <xf numFmtId="1" fontId="0" fillId="8" borderId="6" xfId="0" applyNumberFormat="1" applyFill="1" applyBorder="1" applyAlignment="1" applyProtection="1">
      <alignment horizontal="center"/>
      <protection locked="0"/>
    </xf>
    <xf numFmtId="11" fontId="0" fillId="11" borderId="6" xfId="0" applyNumberFormat="1" applyFill="1" applyBorder="1" applyAlignment="1">
      <alignment horizontal="center"/>
    </xf>
    <xf numFmtId="166" fontId="0" fillId="11" borderId="6" xfId="0" applyNumberFormat="1" applyFill="1" applyBorder="1"/>
    <xf numFmtId="166" fontId="0" fillId="11" borderId="17" xfId="0" applyNumberFormat="1" applyFill="1" applyBorder="1"/>
    <xf numFmtId="1" fontId="0" fillId="11" borderId="6" xfId="0" applyNumberFormat="1" applyFill="1" applyBorder="1" applyAlignment="1">
      <alignment horizontal="center"/>
    </xf>
    <xf numFmtId="1" fontId="0" fillId="11" borderId="17" xfId="0" applyNumberFormat="1" applyFill="1" applyBorder="1" applyAlignment="1">
      <alignment horizontal="center"/>
    </xf>
    <xf numFmtId="166" fontId="5" fillId="2" borderId="6" xfId="0" applyNumberFormat="1" applyFont="1" applyFill="1" applyBorder="1" applyAlignment="1" applyProtection="1">
      <alignment horizontal="right"/>
      <protection locked="0"/>
    </xf>
    <xf numFmtId="0" fontId="0" fillId="3" borderId="19" xfId="0" applyFill="1" applyBorder="1" applyProtection="1">
      <protection locked="0"/>
    </xf>
    <xf numFmtId="0" fontId="20" fillId="3" borderId="0" xfId="0" applyFont="1" applyFill="1" applyProtection="1">
      <protection locked="0"/>
    </xf>
    <xf numFmtId="0" fontId="20" fillId="3" borderId="0" xfId="0" applyFont="1" applyFill="1" applyAlignment="1" applyProtection="1">
      <alignment horizontal="left"/>
      <protection locked="0"/>
    </xf>
    <xf numFmtId="0" fontId="20" fillId="3" borderId="0" xfId="0" applyFont="1" applyFill="1" applyAlignment="1">
      <alignment horizontal="center"/>
    </xf>
    <xf numFmtId="0" fontId="5" fillId="0" borderId="0" xfId="0" applyFont="1" applyAlignment="1" applyProtection="1">
      <alignment horizontal="left"/>
      <protection locked="0"/>
    </xf>
    <xf numFmtId="0" fontId="21" fillId="16" borderId="6" xfId="0" applyFont="1" applyFill="1" applyBorder="1" applyAlignment="1" applyProtection="1">
      <alignment horizontal="center"/>
      <protection locked="0"/>
    </xf>
    <xf numFmtId="0" fontId="7" fillId="16" borderId="1" xfId="0" applyFont="1" applyFill="1" applyBorder="1" applyAlignment="1" applyProtection="1">
      <alignment horizontal="center"/>
      <protection locked="0"/>
    </xf>
    <xf numFmtId="0" fontId="7" fillId="16" borderId="2" xfId="0" applyFont="1" applyFill="1" applyBorder="1" applyAlignment="1" applyProtection="1">
      <alignment horizontal="center"/>
      <protection locked="0"/>
    </xf>
    <xf numFmtId="0" fontId="7" fillId="16" borderId="3" xfId="0" applyFont="1" applyFill="1" applyBorder="1" applyAlignment="1" applyProtection="1">
      <alignment horizontal="center"/>
      <protection locked="0"/>
    </xf>
    <xf numFmtId="2" fontId="7" fillId="16" borderId="4" xfId="0" applyNumberFormat="1" applyFont="1" applyFill="1" applyBorder="1" applyAlignment="1" applyProtection="1">
      <alignment horizontal="center"/>
      <protection locked="0"/>
    </xf>
    <xf numFmtId="2" fontId="7" fillId="16" borderId="5" xfId="0" applyNumberFormat="1" applyFont="1" applyFill="1" applyBorder="1" applyAlignment="1" applyProtection="1">
      <alignment horizontal="center"/>
      <protection locked="0"/>
    </xf>
    <xf numFmtId="0" fontId="7" fillId="16" borderId="8" xfId="0" applyFont="1" applyFill="1" applyBorder="1" applyAlignment="1" applyProtection="1">
      <alignment horizontal="center" vertical="top"/>
      <protection locked="0"/>
    </xf>
    <xf numFmtId="0" fontId="7" fillId="16" borderId="6" xfId="0" applyFont="1" applyFill="1" applyBorder="1" applyAlignment="1" applyProtection="1">
      <alignment horizontal="center" vertical="top"/>
      <protection locked="0"/>
    </xf>
    <xf numFmtId="167" fontId="0" fillId="8" borderId="6" xfId="1" applyNumberFormat="1" applyFont="1" applyFill="1" applyBorder="1" applyAlignment="1" applyProtection="1">
      <alignment horizontal="center"/>
      <protection locked="0"/>
    </xf>
    <xf numFmtId="165" fontId="5" fillId="0" borderId="0" xfId="0" applyNumberFormat="1" applyFont="1" applyAlignment="1" applyProtection="1">
      <alignment horizontal="center" vertical="center"/>
      <protection locked="0"/>
    </xf>
    <xf numFmtId="165" fontId="5" fillId="0" borderId="0" xfId="0" applyNumberFormat="1" applyFont="1" applyAlignment="1" applyProtection="1">
      <alignment horizontal="center"/>
      <protection locked="0"/>
    </xf>
    <xf numFmtId="165" fontId="21" fillId="7" borderId="6" xfId="0" applyNumberFormat="1" applyFont="1" applyFill="1" applyBorder="1" applyProtection="1">
      <protection locked="0"/>
    </xf>
    <xf numFmtId="0" fontId="21" fillId="7" borderId="15" xfId="0" applyFont="1" applyFill="1" applyBorder="1" applyAlignment="1" applyProtection="1">
      <alignment horizontal="center"/>
      <protection locked="0"/>
    </xf>
    <xf numFmtId="165" fontId="21" fillId="6" borderId="6" xfId="0" applyNumberFormat="1" applyFont="1" applyFill="1" applyBorder="1" applyAlignment="1" applyProtection="1">
      <alignment horizontal="center"/>
      <protection locked="0"/>
    </xf>
    <xf numFmtId="0" fontId="0" fillId="9" borderId="6" xfId="0" applyFill="1" applyBorder="1" applyAlignment="1" applyProtection="1">
      <alignment horizontal="center"/>
      <protection locked="0"/>
    </xf>
    <xf numFmtId="0" fontId="0" fillId="0" borderId="0" xfId="0" applyAlignment="1">
      <alignment horizontal="left" vertical="top" wrapText="1"/>
    </xf>
    <xf numFmtId="0" fontId="0" fillId="4" borderId="0" xfId="0" applyFill="1"/>
    <xf numFmtId="0" fontId="0" fillId="0" borderId="24" xfId="0" applyBorder="1" applyAlignment="1">
      <alignment horizontal="left" vertical="top" wrapText="1"/>
    </xf>
    <xf numFmtId="0" fontId="0" fillId="0" borderId="0" xfId="0" applyAlignment="1">
      <alignment horizontal="right"/>
    </xf>
    <xf numFmtId="0" fontId="0" fillId="9" borderId="0" xfId="0" applyFill="1"/>
    <xf numFmtId="1" fontId="5" fillId="6" borderId="6" xfId="0" applyNumberFormat="1" applyFont="1" applyFill="1" applyBorder="1" applyProtection="1">
      <protection locked="0"/>
    </xf>
    <xf numFmtId="0" fontId="5" fillId="6" borderId="6" xfId="0" applyFont="1" applyFill="1" applyBorder="1" applyProtection="1">
      <protection locked="0"/>
    </xf>
    <xf numFmtId="0" fontId="0" fillId="0" borderId="0" xfId="0" applyAlignment="1" applyProtection="1">
      <alignment horizontal="left"/>
      <protection locked="0"/>
    </xf>
    <xf numFmtId="0" fontId="0" fillId="0" borderId="0" xfId="0" applyAlignment="1" applyProtection="1">
      <alignment horizontal="center" vertical="center"/>
      <protection locked="0"/>
    </xf>
    <xf numFmtId="166" fontId="0" fillId="8" borderId="6" xfId="0" applyNumberFormat="1" applyFill="1" applyBorder="1" applyProtection="1">
      <protection locked="0"/>
    </xf>
    <xf numFmtId="1" fontId="0" fillId="8" borderId="0" xfId="1" applyNumberFormat="1" applyFont="1" applyFill="1"/>
    <xf numFmtId="0" fontId="21" fillId="7" borderId="6" xfId="0" applyFont="1" applyFill="1" applyBorder="1" applyAlignment="1" applyProtection="1">
      <alignment horizontal="center"/>
      <protection locked="0"/>
    </xf>
    <xf numFmtId="0" fontId="0" fillId="0" borderId="23" xfId="0" applyBorder="1" applyAlignment="1" applyProtection="1">
      <alignment horizontal="left"/>
      <protection locked="0"/>
    </xf>
    <xf numFmtId="0" fontId="7" fillId="3" borderId="0" xfId="0" applyFont="1" applyFill="1"/>
    <xf numFmtId="0" fontId="0" fillId="0" borderId="24" xfId="0" applyBorder="1" applyAlignment="1" applyProtection="1">
      <alignment horizontal="right"/>
      <protection locked="0"/>
    </xf>
    <xf numFmtId="0" fontId="16" fillId="0" borderId="0" xfId="0" applyFont="1" applyAlignment="1" applyProtection="1">
      <alignment horizontal="center"/>
      <protection locked="0"/>
    </xf>
    <xf numFmtId="0" fontId="0" fillId="3" borderId="0" xfId="0" applyFill="1" applyAlignment="1" applyProtection="1">
      <alignment horizontal="right"/>
      <protection locked="0"/>
    </xf>
    <xf numFmtId="0" fontId="0" fillId="0" borderId="28" xfId="0" applyBorder="1" applyAlignment="1">
      <alignment horizontal="center"/>
    </xf>
    <xf numFmtId="0" fontId="7" fillId="9" borderId="29" xfId="0" applyFont="1" applyFill="1" applyBorder="1" applyAlignment="1" applyProtection="1">
      <alignment horizontal="center"/>
      <protection locked="0"/>
    </xf>
    <xf numFmtId="0" fontId="0" fillId="9" borderId="29" xfId="0" applyFill="1" applyBorder="1" applyAlignment="1" applyProtection="1">
      <alignment horizontal="center"/>
      <protection locked="0"/>
    </xf>
    <xf numFmtId="11" fontId="0" fillId="9" borderId="29" xfId="0" applyNumberFormat="1" applyFill="1" applyBorder="1" applyAlignment="1" applyProtection="1">
      <alignment horizontal="center"/>
      <protection locked="0"/>
    </xf>
    <xf numFmtId="0" fontId="5" fillId="0" borderId="6" xfId="0" applyFont="1" applyBorder="1" applyAlignment="1" applyProtection="1">
      <alignment horizontal="right"/>
      <protection locked="0"/>
    </xf>
    <xf numFmtId="11" fontId="0" fillId="2" borderId="8" xfId="0" applyNumberFormat="1" applyFill="1" applyBorder="1" applyProtection="1">
      <protection locked="0"/>
    </xf>
    <xf numFmtId="0" fontId="0" fillId="17" borderId="0" xfId="0" applyFill="1" applyProtection="1">
      <protection locked="0"/>
    </xf>
    <xf numFmtId="0" fontId="15" fillId="17" borderId="30" xfId="0" applyFont="1" applyFill="1" applyBorder="1" applyAlignment="1" applyProtection="1">
      <alignment horizontal="center"/>
      <protection locked="0"/>
    </xf>
    <xf numFmtId="0" fontId="0" fillId="17" borderId="0" xfId="0" applyFill="1"/>
    <xf numFmtId="0" fontId="0" fillId="17" borderId="0" xfId="0" applyFill="1" applyAlignment="1">
      <alignment horizontal="center"/>
    </xf>
    <xf numFmtId="0" fontId="3" fillId="3" borderId="0" xfId="0" applyFont="1" applyFill="1"/>
    <xf numFmtId="0" fontId="20" fillId="3" borderId="0" xfId="0" applyFont="1" applyFill="1" applyAlignment="1">
      <alignment horizontal="left"/>
    </xf>
    <xf numFmtId="0" fontId="8" fillId="0" borderId="0" xfId="0" applyFont="1"/>
    <xf numFmtId="0" fontId="7" fillId="0" borderId="0" xfId="0" applyFont="1"/>
    <xf numFmtId="0" fontId="24" fillId="3" borderId="0" xfId="0" applyFont="1" applyFill="1"/>
    <xf numFmtId="0" fontId="0" fillId="6" borderId="0" xfId="0" applyFill="1" applyAlignment="1">
      <alignment horizontal="center"/>
    </xf>
    <xf numFmtId="11" fontId="0" fillId="6" borderId="0" xfId="0" applyNumberFormat="1" applyFill="1" applyAlignment="1">
      <alignment horizontal="center"/>
    </xf>
    <xf numFmtId="0" fontId="0" fillId="6" borderId="0" xfId="0" applyFill="1"/>
    <xf numFmtId="11" fontId="0" fillId="6" borderId="0" xfId="0" applyNumberFormat="1" applyFill="1"/>
    <xf numFmtId="11" fontId="0" fillId="18" borderId="0" xfId="0" applyNumberFormat="1" applyFill="1"/>
    <xf numFmtId="2" fontId="0" fillId="18" borderId="0" xfId="0" applyNumberFormat="1" applyFill="1"/>
    <xf numFmtId="166" fontId="0" fillId="18" borderId="0" xfId="0" applyNumberFormat="1" applyFill="1"/>
    <xf numFmtId="11" fontId="0" fillId="18" borderId="0" xfId="1" applyNumberFormat="1" applyFont="1" applyFill="1"/>
    <xf numFmtId="167" fontId="0" fillId="18" borderId="0" xfId="1" applyNumberFormat="1" applyFont="1" applyFill="1"/>
    <xf numFmtId="11" fontId="0" fillId="18" borderId="31" xfId="0" applyNumberFormat="1" applyFill="1" applyBorder="1"/>
    <xf numFmtId="167" fontId="0" fillId="18" borderId="31" xfId="1" applyNumberFormat="1" applyFont="1" applyFill="1" applyBorder="1"/>
    <xf numFmtId="11" fontId="0" fillId="18" borderId="32" xfId="0" applyNumberFormat="1" applyFill="1" applyBorder="1"/>
    <xf numFmtId="167" fontId="0" fillId="18" borderId="32" xfId="1" applyNumberFormat="1" applyFont="1" applyFill="1" applyBorder="1"/>
    <xf numFmtId="11" fontId="0" fillId="2" borderId="0" xfId="0" applyNumberFormat="1" applyFill="1"/>
    <xf numFmtId="164" fontId="0" fillId="2" borderId="0" xfId="0" applyNumberFormat="1" applyFill="1"/>
    <xf numFmtId="2" fontId="0" fillId="2" borderId="0" xfId="0" applyNumberFormat="1" applyFill="1"/>
    <xf numFmtId="166" fontId="0" fillId="2" borderId="0" xfId="0" applyNumberFormat="1" applyFill="1"/>
    <xf numFmtId="166" fontId="0" fillId="16" borderId="0" xfId="0" applyNumberFormat="1" applyFill="1" applyAlignment="1" applyProtection="1">
      <alignment horizontal="center"/>
      <protection locked="0"/>
    </xf>
    <xf numFmtId="170" fontId="0" fillId="0" borderId="0" xfId="0" applyNumberFormat="1"/>
    <xf numFmtId="171" fontId="0" fillId="0" borderId="0" xfId="0" applyNumberFormat="1"/>
    <xf numFmtId="11" fontId="8" fillId="0" borderId="0" xfId="0" applyNumberFormat="1" applyFont="1"/>
    <xf numFmtId="0" fontId="0" fillId="0" borderId="0" xfId="0" applyAlignment="1" applyProtection="1">
      <alignment horizontal="left"/>
      <protection locked="0"/>
    </xf>
    <xf numFmtId="0" fontId="18" fillId="8" borderId="19" xfId="0" applyFont="1" applyFill="1" applyBorder="1" applyAlignment="1" applyProtection="1">
      <alignment horizontal="center"/>
      <protection locked="0"/>
    </xf>
    <xf numFmtId="0" fontId="20" fillId="3" borderId="19" xfId="0" applyFont="1" applyFill="1" applyBorder="1" applyAlignment="1" applyProtection="1">
      <alignment horizontal="left"/>
      <protection locked="0"/>
    </xf>
    <xf numFmtId="0" fontId="2" fillId="17" borderId="24" xfId="0" applyFont="1" applyFill="1" applyBorder="1" applyAlignment="1" applyProtection="1">
      <alignment horizontal="center"/>
      <protection locked="0"/>
    </xf>
    <xf numFmtId="0" fontId="3" fillId="3" borderId="20" xfId="0" applyFont="1" applyFill="1" applyBorder="1" applyAlignment="1" applyProtection="1">
      <alignment horizontal="center"/>
      <protection locked="0"/>
    </xf>
    <xf numFmtId="0" fontId="3" fillId="3" borderId="21" xfId="0" applyFont="1" applyFill="1" applyBorder="1" applyAlignment="1" applyProtection="1">
      <alignment horizontal="center"/>
      <protection locked="0"/>
    </xf>
    <xf numFmtId="0" fontId="3" fillId="3" borderId="22" xfId="0" applyFont="1" applyFill="1" applyBorder="1" applyAlignment="1" applyProtection="1">
      <alignment horizontal="center"/>
      <protection locked="0"/>
    </xf>
    <xf numFmtId="0" fontId="3" fillId="3" borderId="25" xfId="0" applyFont="1" applyFill="1" applyBorder="1" applyAlignment="1" applyProtection="1">
      <alignment horizontal="center"/>
      <protection locked="0"/>
    </xf>
    <xf numFmtId="0" fontId="3" fillId="3" borderId="26" xfId="0" applyFont="1" applyFill="1" applyBorder="1" applyAlignment="1" applyProtection="1">
      <alignment horizontal="center"/>
      <protection locked="0"/>
    </xf>
    <xf numFmtId="0" fontId="3" fillId="3" borderId="27" xfId="0" applyFont="1" applyFill="1" applyBorder="1" applyAlignment="1" applyProtection="1">
      <alignment horizontal="center"/>
      <protection locked="0"/>
    </xf>
    <xf numFmtId="0" fontId="13" fillId="3" borderId="20" xfId="0" applyFont="1" applyFill="1" applyBorder="1" applyAlignment="1" applyProtection="1">
      <alignment horizontal="center" vertical="center"/>
      <protection locked="0"/>
    </xf>
    <xf numFmtId="0" fontId="13" fillId="3" borderId="21" xfId="0" applyFont="1" applyFill="1" applyBorder="1" applyAlignment="1" applyProtection="1">
      <alignment horizontal="center" vertical="center"/>
      <protection locked="0"/>
    </xf>
    <xf numFmtId="0" fontId="13" fillId="3" borderId="22" xfId="0" applyFont="1" applyFill="1" applyBorder="1" applyAlignment="1" applyProtection="1">
      <alignment horizontal="center" vertical="center"/>
      <protection locked="0"/>
    </xf>
    <xf numFmtId="0" fontId="13" fillId="3" borderId="23"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3" fillId="3" borderId="24" xfId="0" applyFont="1" applyFill="1" applyBorder="1" applyAlignment="1" applyProtection="1">
      <alignment horizontal="center" vertical="center"/>
      <protection locked="0"/>
    </xf>
    <xf numFmtId="0" fontId="13" fillId="3" borderId="25" xfId="0" applyFont="1" applyFill="1" applyBorder="1" applyAlignment="1" applyProtection="1">
      <alignment horizontal="center" vertical="center"/>
      <protection locked="0"/>
    </xf>
    <xf numFmtId="0" fontId="13" fillId="3" borderId="26" xfId="0" applyFont="1" applyFill="1" applyBorder="1" applyAlignment="1" applyProtection="1">
      <alignment horizontal="center" vertical="center"/>
      <protection locked="0"/>
    </xf>
    <xf numFmtId="0" fontId="13" fillId="3" borderId="27" xfId="0" applyFont="1" applyFill="1" applyBorder="1" applyAlignment="1" applyProtection="1">
      <alignment horizontal="center" vertical="center"/>
      <protection locked="0"/>
    </xf>
    <xf numFmtId="0" fontId="27" fillId="8" borderId="23" xfId="0" applyFont="1" applyFill="1" applyBorder="1" applyAlignment="1" applyProtection="1">
      <alignment horizontal="center"/>
      <protection locked="0"/>
    </xf>
    <xf numFmtId="0" fontId="23" fillId="8" borderId="0" xfId="0" applyFont="1" applyFill="1" applyAlignment="1" applyProtection="1">
      <alignment horizontal="center"/>
      <protection locked="0"/>
    </xf>
    <xf numFmtId="0" fontId="0" fillId="0" borderId="23" xfId="0" applyBorder="1" applyAlignment="1" applyProtection="1">
      <alignment horizontal="right"/>
      <protection locked="0"/>
    </xf>
    <xf numFmtId="0" fontId="0" fillId="0" borderId="24" xfId="0" applyBorder="1" applyAlignment="1" applyProtection="1">
      <alignment horizontal="right"/>
      <protection locked="0"/>
    </xf>
    <xf numFmtId="0" fontId="0" fillId="0" borderId="0" xfId="0" applyAlignment="1" applyProtection="1">
      <alignment horizontal="center"/>
      <protection locked="0"/>
    </xf>
    <xf numFmtId="0" fontId="5" fillId="2" borderId="0" xfId="0" applyFont="1" applyFill="1" applyAlignment="1" applyProtection="1">
      <alignment horizontal="left" vertical="top" wrapText="1"/>
      <protection locked="0"/>
    </xf>
    <xf numFmtId="0" fontId="20" fillId="3" borderId="0" xfId="0" applyFont="1" applyFill="1" applyAlignment="1" applyProtection="1">
      <alignment horizontal="left"/>
      <protection locked="0"/>
    </xf>
    <xf numFmtId="0" fontId="6" fillId="0" borderId="0" xfId="0" applyFont="1" applyAlignment="1" applyProtection="1">
      <alignment horizontal="center"/>
      <protection locked="0"/>
    </xf>
    <xf numFmtId="0" fontId="20" fillId="3" borderId="24" xfId="0" applyFont="1" applyFill="1" applyBorder="1" applyAlignment="1" applyProtection="1">
      <alignment horizontal="left"/>
      <protection locked="0"/>
    </xf>
    <xf numFmtId="0" fontId="7" fillId="16" borderId="18" xfId="0" applyFont="1" applyFill="1" applyBorder="1" applyAlignment="1" applyProtection="1">
      <alignment horizontal="center" vertical="center"/>
      <protection locked="0"/>
    </xf>
    <xf numFmtId="0" fontId="7" fillId="16" borderId="8" xfId="0" applyFont="1" applyFill="1" applyBorder="1" applyAlignment="1" applyProtection="1">
      <alignment horizontal="center" vertical="center"/>
      <protection locked="0"/>
    </xf>
    <xf numFmtId="0" fontId="8" fillId="0" borderId="0" xfId="0" applyFont="1" applyAlignment="1" applyProtection="1">
      <alignment horizontal="center"/>
      <protection locked="0"/>
    </xf>
    <xf numFmtId="0" fontId="8" fillId="0" borderId="0" xfId="0" applyFont="1" applyAlignment="1" applyProtection="1">
      <alignment horizontal="center" vertical="center"/>
      <protection locked="0"/>
    </xf>
    <xf numFmtId="168" fontId="0" fillId="17" borderId="0" xfId="0" applyNumberFormat="1" applyFill="1" applyAlignment="1">
      <alignment horizontal="center"/>
    </xf>
    <xf numFmtId="0" fontId="0" fillId="4" borderId="0" xfId="0" applyFill="1" applyAlignment="1">
      <alignment horizontal="center"/>
    </xf>
    <xf numFmtId="0" fontId="2" fillId="4" borderId="0" xfId="0" applyFont="1" applyFill="1" applyAlignment="1">
      <alignment horizontal="center"/>
    </xf>
    <xf numFmtId="0" fontId="0" fillId="3" borderId="0" xfId="0" applyFill="1" applyAlignment="1" applyProtection="1">
      <alignment horizontal="left"/>
      <protection locked="0"/>
    </xf>
    <xf numFmtId="0" fontId="7" fillId="4" borderId="0" xfId="0" applyFont="1" applyFill="1" applyAlignment="1">
      <alignment horizontal="left"/>
    </xf>
  </cellXfs>
  <cellStyles count="2">
    <cellStyle name="Normal" xfId="0" builtinId="0"/>
    <cellStyle name="Percent" xfId="1" builtinId="5"/>
  </cellStyles>
  <dxfs count="7">
    <dxf>
      <font>
        <color theme="4" tint="-0.499984740745262"/>
      </font>
      <fill>
        <patternFill>
          <bgColor theme="4" tint="0.79998168889431442"/>
        </patternFill>
      </fill>
    </dxf>
    <dxf>
      <font>
        <color rgb="FF9C5700"/>
      </font>
      <fill>
        <patternFill>
          <bgColor rgb="FFFFEB9C"/>
        </patternFill>
      </fill>
    </dxf>
    <dxf>
      <font>
        <color theme="4" tint="-0.499984740745262"/>
      </font>
      <fill>
        <patternFill>
          <bgColor theme="4" tint="0.79998168889431442"/>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50"/>
      <color rgb="FFFFFF3C"/>
      <color rgb="FFCCFFCC"/>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v>Power</c:v>
          </c:tx>
          <c:spPr>
            <a:ln w="19050" cap="rnd">
              <a:solidFill>
                <a:schemeClr val="accent2"/>
              </a:solidFill>
              <a:round/>
            </a:ln>
            <a:effectLst/>
          </c:spPr>
          <c:marker>
            <c:symbol val="none"/>
          </c:marker>
          <c:xVal>
            <c:numRef>
              <c:f>Data!$A$5:$A$55</c:f>
              <c:numCache>
                <c:formatCode>0.000</c:formatCode>
                <c:ptCount val="51"/>
                <c:pt idx="0">
                  <c:v>-3.0467635146013024E-2</c:v>
                </c:pt>
                <c:pt idx="1">
                  <c:v>0.23177529976717889</c:v>
                </c:pt>
                <c:pt idx="2">
                  <c:v>0.37746896667971969</c:v>
                </c:pt>
                <c:pt idx="3">
                  <c:v>0.46278850513722763</c:v>
                </c:pt>
                <c:pt idx="4">
                  <c:v>0.52406651805930082</c:v>
                </c:pt>
                <c:pt idx="5">
                  <c:v>0.60052582024275458</c:v>
                </c:pt>
                <c:pt idx="6">
                  <c:v>0.63884743786420928</c:v>
                </c:pt>
                <c:pt idx="7">
                  <c:v>0.65920023071410305</c:v>
                </c:pt>
                <c:pt idx="8">
                  <c:v>0.69930669423938463</c:v>
                </c:pt>
              </c:numCache>
            </c:numRef>
          </c:xVal>
          <c:yVal>
            <c:numRef>
              <c:f>Data!$C$5:$C$55</c:f>
              <c:numCache>
                <c:formatCode>0.00E+00</c:formatCode>
                <c:ptCount val="51"/>
                <c:pt idx="0">
                  <c:v>-4.6413839569528405E-3</c:v>
                </c:pt>
                <c:pt idx="1">
                  <c:v>3.5308213787607526E-2</c:v>
                </c:pt>
                <c:pt idx="2">
                  <c:v>5.7496961515356097E-2</c:v>
                </c:pt>
                <c:pt idx="3">
                  <c:v>7.0270776974298566E-2</c:v>
                </c:pt>
                <c:pt idx="4">
                  <c:v>7.7450304370588141E-2</c:v>
                </c:pt>
                <c:pt idx="7">
                  <c:v>3.9709144717335935E-2</c:v>
                </c:pt>
                <c:pt idx="8">
                  <c:v>2.7167942748694881E-5</c:v>
                </c:pt>
              </c:numCache>
            </c:numRef>
          </c:yVal>
          <c:smooth val="1"/>
          <c:extLst>
            <c:ext xmlns:c16="http://schemas.microsoft.com/office/drawing/2014/chart" uri="{C3380CC4-5D6E-409C-BE32-E72D297353CC}">
              <c16:uniqueId val="{00000001-040A-4148-8251-0FF8BA0D0733}"/>
            </c:ext>
          </c:extLst>
        </c:ser>
        <c:ser>
          <c:idx val="0"/>
          <c:order val="1"/>
          <c:tx>
            <c:v>Current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Data!$A$5:$A$55</c:f>
              <c:numCache>
                <c:formatCode>0.000</c:formatCode>
                <c:ptCount val="51"/>
                <c:pt idx="0">
                  <c:v>-3.0467635146013024E-2</c:v>
                </c:pt>
                <c:pt idx="1">
                  <c:v>0.23177529976717889</c:v>
                </c:pt>
                <c:pt idx="2">
                  <c:v>0.37746896667971969</c:v>
                </c:pt>
                <c:pt idx="3">
                  <c:v>0.46278850513722763</c:v>
                </c:pt>
                <c:pt idx="4">
                  <c:v>0.52406651805930082</c:v>
                </c:pt>
                <c:pt idx="5">
                  <c:v>0.60052582024275458</c:v>
                </c:pt>
                <c:pt idx="6">
                  <c:v>0.63884743786420928</c:v>
                </c:pt>
                <c:pt idx="7">
                  <c:v>0.65920023071410305</c:v>
                </c:pt>
                <c:pt idx="8">
                  <c:v>0.69930669423938463</c:v>
                </c:pt>
              </c:numCache>
            </c:numRef>
          </c:xVal>
          <c:yVal>
            <c:numRef>
              <c:f>Data!$B$5:$B$55</c:f>
              <c:numCache>
                <c:formatCode>0.00E+00</c:formatCode>
                <c:ptCount val="51"/>
                <c:pt idx="0">
                  <c:v>0.15233817573006511</c:v>
                </c:pt>
                <c:pt idx="1">
                  <c:v>0.15233812154735665</c:v>
                </c:pt>
                <c:pt idx="2">
                  <c:v>0.15232235386423687</c:v>
                </c:pt>
                <c:pt idx="3">
                  <c:v>0.15184209675532376</c:v>
                </c:pt>
                <c:pt idx="4">
                  <c:v>0.14778716384591514</c:v>
                </c:pt>
                <c:pt idx="7">
                  <c:v>6.0238365927632542E-2</c:v>
                </c:pt>
                <c:pt idx="8">
                  <c:v>3.8849825080317091E-5</c:v>
                </c:pt>
              </c:numCache>
            </c:numRef>
          </c:yVal>
          <c:smooth val="1"/>
          <c:extLst>
            <c:ext xmlns:c16="http://schemas.microsoft.com/office/drawing/2014/chart" uri="{C3380CC4-5D6E-409C-BE32-E72D297353CC}">
              <c16:uniqueId val="{00000000-040A-4148-8251-0FF8BA0D0733}"/>
            </c:ext>
          </c:extLst>
        </c:ser>
        <c:ser>
          <c:idx val="2"/>
          <c:order val="2"/>
          <c:tx>
            <c:v>Max Power</c:v>
          </c:tx>
          <c:spPr>
            <a:ln w="19050" cap="rnd">
              <a:noFill/>
              <a:round/>
            </a:ln>
            <a:effectLst/>
          </c:spPr>
          <c:marker>
            <c:symbol val="circle"/>
            <c:size val="8"/>
            <c:spPr>
              <a:solidFill>
                <a:schemeClr val="accent3"/>
              </a:solidFill>
              <a:ln w="12700">
                <a:noFill/>
              </a:ln>
              <a:effectLst/>
            </c:spPr>
          </c:marker>
          <c:dLbls>
            <c:dLbl>
              <c:idx val="0"/>
              <c:layout>
                <c:manualLayout>
                  <c:x val="1.0928961748633699E-2"/>
                  <c:y val="-0.120689655172414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16866744116002"/>
                      <c:h val="8.7435967055842154E-2"/>
                    </c:manualLayout>
                  </c15:layout>
                </c:ext>
                <c:ext xmlns:c16="http://schemas.microsoft.com/office/drawing/2014/chart" uri="{C3380CC4-5D6E-409C-BE32-E72D297353CC}">
                  <c16:uniqueId val="{00000003-040A-4148-8251-0FF8BA0D073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Data!$A$4</c:f>
              <c:numCache>
                <c:formatCode>0.000</c:formatCode>
                <c:ptCount val="1"/>
                <c:pt idx="0">
                  <c:v>0.5578412576848496</c:v>
                </c:pt>
              </c:numCache>
            </c:numRef>
          </c:xVal>
          <c:yVal>
            <c:numRef>
              <c:f>Data!$B$4</c:f>
              <c:numCache>
                <c:formatCode>0.00E+00</c:formatCode>
                <c:ptCount val="1"/>
                <c:pt idx="0">
                  <c:v>0.14110127046808713</c:v>
                </c:pt>
              </c:numCache>
            </c:numRef>
          </c:yVal>
          <c:smooth val="1"/>
          <c:extLst>
            <c:ext xmlns:c16="http://schemas.microsoft.com/office/drawing/2014/chart" uri="{C3380CC4-5D6E-409C-BE32-E72D297353CC}">
              <c16:uniqueId val="{00000002-040A-4148-8251-0FF8BA0D0733}"/>
            </c:ext>
          </c:extLst>
        </c:ser>
        <c:dLbls>
          <c:showLegendKey val="0"/>
          <c:showVal val="0"/>
          <c:showCatName val="0"/>
          <c:showSerName val="0"/>
          <c:showPercent val="0"/>
          <c:showBubbleSize val="0"/>
        </c:dLbls>
        <c:axId val="2145234680"/>
        <c:axId val="2133621512"/>
      </c:scatterChart>
      <c:valAx>
        <c:axId val="2145234680"/>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621512"/>
        <c:crossesAt val="9.9999999999999997E-29"/>
        <c:crossBetween val="midCat"/>
      </c:valAx>
      <c:valAx>
        <c:axId val="213362151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2346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520372297602"/>
          <c:y val="6.21468926553672E-2"/>
          <c:w val="0.81558020958103405"/>
          <c:h val="0.80678944792917895"/>
        </c:manualLayout>
      </c:layout>
      <c:scatterChart>
        <c:scatterStyle val="smoothMarker"/>
        <c:varyColors val="0"/>
        <c:ser>
          <c:idx val="1"/>
          <c:order val="0"/>
          <c:tx>
            <c:v>Collection Efficiency</c:v>
          </c:tx>
          <c:spPr>
            <a:ln w="19050" cap="rnd">
              <a:solidFill>
                <a:schemeClr val="accent2"/>
              </a:solidFill>
              <a:round/>
            </a:ln>
            <a:effectLst/>
          </c:spPr>
          <c:marker>
            <c:symbol val="none"/>
          </c:marker>
          <c:xVal>
            <c:numRef>
              <c:f>Data!$D$4:$D$55</c:f>
              <c:numCache>
                <c:formatCode>General</c:formatCode>
                <c:ptCount val="52"/>
                <c:pt idx="0">
                  <c:v>300</c:v>
                </c:pt>
                <c:pt idx="1">
                  <c:v>350</c:v>
                </c:pt>
                <c:pt idx="2">
                  <c:v>400</c:v>
                </c:pt>
                <c:pt idx="3">
                  <c:v>450</c:v>
                </c:pt>
                <c:pt idx="4">
                  <c:v>500</c:v>
                </c:pt>
                <c:pt idx="5">
                  <c:v>550</c:v>
                </c:pt>
                <c:pt idx="6">
                  <c:v>600</c:v>
                </c:pt>
                <c:pt idx="7">
                  <c:v>650</c:v>
                </c:pt>
                <c:pt idx="8">
                  <c:v>700</c:v>
                </c:pt>
                <c:pt idx="9">
                  <c:v>750</c:v>
                </c:pt>
                <c:pt idx="10">
                  <c:v>800</c:v>
                </c:pt>
                <c:pt idx="11">
                  <c:v>850</c:v>
                </c:pt>
                <c:pt idx="12">
                  <c:v>900</c:v>
                </c:pt>
                <c:pt idx="13">
                  <c:v>950</c:v>
                </c:pt>
                <c:pt idx="14">
                  <c:v>1000</c:v>
                </c:pt>
                <c:pt idx="15">
                  <c:v>1050</c:v>
                </c:pt>
                <c:pt idx="16">
                  <c:v>1100</c:v>
                </c:pt>
                <c:pt idx="17">
                  <c:v>1150</c:v>
                </c:pt>
                <c:pt idx="18">
                  <c:v>1200</c:v>
                </c:pt>
              </c:numCache>
            </c:numRef>
          </c:xVal>
          <c:yVal>
            <c:numRef>
              <c:f>Data!$F$4:$F$55</c:f>
              <c:numCache>
                <c:formatCode>0.0</c:formatCode>
                <c:ptCount val="52"/>
                <c:pt idx="0">
                  <c:v>99.885114225337887</c:v>
                </c:pt>
                <c:pt idx="1">
                  <c:v>99.885114225337887</c:v>
                </c:pt>
                <c:pt idx="2">
                  <c:v>99.885114225337887</c:v>
                </c:pt>
                <c:pt idx="3">
                  <c:v>99.885114225337887</c:v>
                </c:pt>
                <c:pt idx="4">
                  <c:v>99.885114225337887</c:v>
                </c:pt>
                <c:pt idx="5">
                  <c:v>99.885114225337887</c:v>
                </c:pt>
                <c:pt idx="6">
                  <c:v>99.877425730072204</c:v>
                </c:pt>
                <c:pt idx="7">
                  <c:v>99.857808569413251</c:v>
                </c:pt>
                <c:pt idx="8">
                  <c:v>99.806118592610588</c:v>
                </c:pt>
                <c:pt idx="9">
                  <c:v>99.706935491390851</c:v>
                </c:pt>
                <c:pt idx="10">
                  <c:v>99.484071497669518</c:v>
                </c:pt>
                <c:pt idx="11">
                  <c:v>99.204309927982024</c:v>
                </c:pt>
                <c:pt idx="12">
                  <c:v>98.63273535415405</c:v>
                </c:pt>
                <c:pt idx="13">
                  <c:v>97.633853246910874</c:v>
                </c:pt>
                <c:pt idx="14">
                  <c:v>96.416730138009697</c:v>
                </c:pt>
                <c:pt idx="15">
                  <c:v>95.684435429524356</c:v>
                </c:pt>
                <c:pt idx="16">
                  <c:v>95.585037561301917</c:v>
                </c:pt>
                <c:pt idx="17">
                  <c:v>95.566618053195654</c:v>
                </c:pt>
                <c:pt idx="18">
                  <c:v>95.564060000528627</c:v>
                </c:pt>
              </c:numCache>
            </c:numRef>
          </c:yVal>
          <c:smooth val="1"/>
          <c:extLst>
            <c:ext xmlns:c16="http://schemas.microsoft.com/office/drawing/2014/chart" uri="{C3380CC4-5D6E-409C-BE32-E72D297353CC}">
              <c16:uniqueId val="{00000001-A8BC-4E3B-9938-21CE3CEDA696}"/>
            </c:ext>
          </c:extLst>
        </c:ser>
        <c:ser>
          <c:idx val="0"/>
          <c:order val="1"/>
          <c:tx>
            <c:v>External Quantum Efficiency</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Data!$D$4:$D$55</c:f>
              <c:numCache>
                <c:formatCode>General</c:formatCode>
                <c:ptCount val="52"/>
                <c:pt idx="0">
                  <c:v>300</c:v>
                </c:pt>
                <c:pt idx="1">
                  <c:v>350</c:v>
                </c:pt>
                <c:pt idx="2">
                  <c:v>400</c:v>
                </c:pt>
                <c:pt idx="3">
                  <c:v>450</c:v>
                </c:pt>
                <c:pt idx="4">
                  <c:v>500</c:v>
                </c:pt>
                <c:pt idx="5">
                  <c:v>550</c:v>
                </c:pt>
                <c:pt idx="6">
                  <c:v>600</c:v>
                </c:pt>
                <c:pt idx="7">
                  <c:v>650</c:v>
                </c:pt>
                <c:pt idx="8">
                  <c:v>700</c:v>
                </c:pt>
                <c:pt idx="9">
                  <c:v>750</c:v>
                </c:pt>
                <c:pt idx="10">
                  <c:v>800</c:v>
                </c:pt>
                <c:pt idx="11">
                  <c:v>850</c:v>
                </c:pt>
                <c:pt idx="12">
                  <c:v>900</c:v>
                </c:pt>
                <c:pt idx="13">
                  <c:v>950</c:v>
                </c:pt>
                <c:pt idx="14">
                  <c:v>1000</c:v>
                </c:pt>
                <c:pt idx="15">
                  <c:v>1050</c:v>
                </c:pt>
                <c:pt idx="16">
                  <c:v>1100</c:v>
                </c:pt>
                <c:pt idx="17">
                  <c:v>1150</c:v>
                </c:pt>
                <c:pt idx="18">
                  <c:v>1200</c:v>
                </c:pt>
              </c:numCache>
            </c:numRef>
          </c:xVal>
          <c:yVal>
            <c:numRef>
              <c:f>Data!$E$4:$E$55</c:f>
              <c:numCache>
                <c:formatCode>0.0</c:formatCode>
                <c:ptCount val="52"/>
                <c:pt idx="0">
                  <c:v>56.389142384582662</c:v>
                </c:pt>
                <c:pt idx="1">
                  <c:v>75.185523179443535</c:v>
                </c:pt>
                <c:pt idx="2">
                  <c:v>84.583713576874075</c:v>
                </c:pt>
                <c:pt idx="3">
                  <c:v>92.102265894818402</c:v>
                </c:pt>
                <c:pt idx="4">
                  <c:v>93.981903974304487</c:v>
                </c:pt>
                <c:pt idx="5">
                  <c:v>93.981903974304501</c:v>
                </c:pt>
                <c:pt idx="6">
                  <c:v>93.974669869109036</c:v>
                </c:pt>
                <c:pt idx="7">
                  <c:v>93.956212082645095</c:v>
                </c:pt>
                <c:pt idx="8">
                  <c:v>93.9075769834716</c:v>
                </c:pt>
                <c:pt idx="9">
                  <c:v>92.876113046221235</c:v>
                </c:pt>
                <c:pt idx="10">
                  <c:v>92.668505200568845</c:v>
                </c:pt>
                <c:pt idx="11">
                  <c:v>91.474390295956013</c:v>
                </c:pt>
                <c:pt idx="12">
                  <c:v>90.934133922992757</c:v>
                </c:pt>
                <c:pt idx="13">
                  <c:v>89.775460540747588</c:v>
                </c:pt>
                <c:pt idx="14">
                  <c:v>86.64927287086465</c:v>
                </c:pt>
                <c:pt idx="15">
                  <c:v>73.051978340766553</c:v>
                </c:pt>
                <c:pt idx="16">
                  <c:v>51.448233747468301</c:v>
                </c:pt>
                <c:pt idx="17">
                  <c:v>17.993700703453715</c:v>
                </c:pt>
                <c:pt idx="18">
                  <c:v>1.0020016067377218</c:v>
                </c:pt>
              </c:numCache>
            </c:numRef>
          </c:yVal>
          <c:smooth val="1"/>
          <c:extLst>
            <c:ext xmlns:c16="http://schemas.microsoft.com/office/drawing/2014/chart" uri="{C3380CC4-5D6E-409C-BE32-E72D297353CC}">
              <c16:uniqueId val="{00000000-A8BC-4E3B-9938-21CE3CEDA696}"/>
            </c:ext>
          </c:extLst>
        </c:ser>
        <c:dLbls>
          <c:showLegendKey val="0"/>
          <c:showVal val="0"/>
          <c:showCatName val="0"/>
          <c:showSerName val="0"/>
          <c:showPercent val="0"/>
          <c:showBubbleSize val="0"/>
        </c:dLbls>
        <c:axId val="2105878232"/>
        <c:axId val="-2130591176"/>
      </c:scatterChart>
      <c:valAx>
        <c:axId val="2105878232"/>
        <c:scaling>
          <c:orientation val="minMax"/>
          <c:max val="1200"/>
          <c:min val="3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591176"/>
        <c:crosses val="autoZero"/>
        <c:crossBetween val="midCat"/>
        <c:majorUnit val="100"/>
      </c:valAx>
      <c:valAx>
        <c:axId val="-213059117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878232"/>
        <c:crosses val="autoZero"/>
        <c:crossBetween val="midCat"/>
      </c:valAx>
      <c:spPr>
        <a:noFill/>
        <a:ln>
          <a:noFill/>
        </a:ln>
        <a:effectLst/>
      </c:spPr>
    </c:plotArea>
    <c:legend>
      <c:legendPos val="l"/>
      <c:layout>
        <c:manualLayout>
          <c:xMode val="edge"/>
          <c:yMode val="edge"/>
          <c:x val="0.175885561474627"/>
          <c:y val="0.67584679033764905"/>
          <c:w val="0.61143423109847095"/>
          <c:h val="0.189268205881045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chart>
    <c:autoTitleDeleted val="1"/>
    <c:view3D>
      <c:rotX val="-90"/>
      <c:rotY val="0"/>
      <c:rAngAx val="0"/>
      <c:perspective val="0"/>
    </c:view3D>
    <c:floor>
      <c:thickness val="0"/>
      <c:spPr>
        <a:noFill/>
        <a:ln w="6350" cap="flat" cmpd="sng" algn="ctr">
          <a:solidFill>
            <a:schemeClr val="tx1">
              <a:tint val="75000"/>
            </a:schemeClr>
          </a:solidFill>
          <a:prstDash val="solid"/>
          <a:round/>
        </a:ln>
        <a:effectLst/>
        <a:sp3d contourW="6350">
          <a:contourClr>
            <a:schemeClr val="tx1">
              <a:tint val="75000"/>
            </a:schemeClr>
          </a:contourClr>
        </a:sp3d>
      </c:spPr>
    </c:floor>
    <c:sideWall>
      <c:thickness val="0"/>
      <c:spPr>
        <a:noFill/>
        <a:ln>
          <a:noFill/>
        </a:ln>
        <a:effectLst/>
        <a:sp3d/>
      </c:spPr>
    </c:sideWall>
    <c:backWall>
      <c:thickness val="0"/>
      <c:spPr>
        <a:noFill/>
        <a:ln>
          <a:noFill/>
        </a:ln>
        <a:effectLst/>
        <a:sp3d/>
      </c:spPr>
    </c:backWall>
    <c:plotArea>
      <c:layout>
        <c:manualLayout>
          <c:xMode val="edge"/>
          <c:yMode val="edge"/>
          <c:x val="0"/>
          <c:y val="0"/>
          <c:w val="0.99999995123464802"/>
          <c:h val="1"/>
        </c:manualLayout>
      </c:layout>
      <c:surface3DChart>
        <c:wireframe val="0"/>
        <c:ser>
          <c:idx val="0"/>
          <c:order val="0"/>
          <c:tx>
            <c:strRef>
              <c:f>Data!$M$47</c:f>
              <c:strCache>
                <c:ptCount val="1"/>
                <c:pt idx="0">
                  <c:v>1</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Data!$N$47:$BB$47</c:f>
              <c:numCache>
                <c:formatCode>0.000</c:formatCode>
                <c:ptCount val="41"/>
                <c:pt idx="0">
                  <c:v>0.83176646898964068</c:v>
                </c:pt>
                <c:pt idx="1">
                  <c:v>0.83248310327841935</c:v>
                </c:pt>
                <c:pt idx="2">
                  <c:v>0.83458968685742152</c:v>
                </c:pt>
                <c:pt idx="3">
                  <c:v>0.83796318617711796</c:v>
                </c:pt>
                <c:pt idx="4">
                  <c:v>0.84242469564506628</c:v>
                </c:pt>
                <c:pt idx="5">
                  <c:v>0.84776640094451317</c:v>
                </c:pt>
                <c:pt idx="6">
                  <c:v>0.85377784983420746</c:v>
                </c:pt>
                <c:pt idx="7">
                  <c:v>0.86026361384174499</c:v>
                </c:pt>
                <c:pt idx="8">
                  <c:v>0.86705425465526198</c:v>
                </c:pt>
                <c:pt idx="9">
                  <c:v>0.87400993659733639</c:v>
                </c:pt>
                <c:pt idx="10">
                  <c:v>0.88102042877512965</c:v>
                </c:pt>
                <c:pt idx="11">
                  <c:v>0.88800196684826038</c:v>
                </c:pt>
                <c:pt idx="12">
                  <c:v>0.89489344263695514</c:v>
                </c:pt>
                <c:pt idx="13">
                  <c:v>0.90165177937084129</c:v>
                </c:pt>
                <c:pt idx="14">
                  <c:v>0.90824786092699794</c:v>
                </c:pt>
                <c:pt idx="15">
                  <c:v>0.91466250678416972</c:v>
                </c:pt>
                <c:pt idx="16">
                  <c:v>0.92088333367047415</c:v>
                </c:pt>
                <c:pt idx="17">
                  <c:v>0.92690193676237942</c:v>
                </c:pt>
                <c:pt idx="18">
                  <c:v>0.93271195766358783</c:v>
                </c:pt>
                <c:pt idx="19">
                  <c:v>0.93830752055732414</c:v>
                </c:pt>
                <c:pt idx="20">
                  <c:v>0.94368242800505076</c:v>
                </c:pt>
                <c:pt idx="21">
                  <c:v>0.94882963129114761</c:v>
                </c:pt>
                <c:pt idx="22">
                  <c:v>0.95374128261680191</c:v>
                </c:pt>
                <c:pt idx="23">
                  <c:v>0.95840888003832281</c:v>
                </c:pt>
                <c:pt idx="24">
                  <c:v>0.96282383360731005</c:v>
                </c:pt>
                <c:pt idx="25">
                  <c:v>0.96697794649624336</c:v>
                </c:pt>
                <c:pt idx="26">
                  <c:v>0.97086425618710326</c:v>
                </c:pt>
                <c:pt idx="27">
                  <c:v>0.97447749132141537</c:v>
                </c:pt>
                <c:pt idx="28">
                  <c:v>0.97781469904398499</c:v>
                </c:pt>
                <c:pt idx="29">
                  <c:v>0.98087502517831393</c:v>
                </c:pt>
                <c:pt idx="30">
                  <c:v>0.98365960760503501</c:v>
                </c:pt>
                <c:pt idx="31">
                  <c:v>0.98617069521040812</c:v>
                </c:pt>
                <c:pt idx="32">
                  <c:v>0.98841119803790101</c:v>
                </c:pt>
                <c:pt idx="33">
                  <c:v>0.99038390956744904</c:v>
                </c:pt>
                <c:pt idx="34">
                  <c:v>0.9920912662110537</c:v>
                </c:pt>
                <c:pt idx="35">
                  <c:v>0.99353497906182675</c:v>
                </c:pt>
                <c:pt idx="36">
                  <c:v>0.99471609834604946</c:v>
                </c:pt>
                <c:pt idx="37">
                  <c:v>0.99563498412665163</c:v>
                </c:pt>
                <c:pt idx="38">
                  <c:v>0.99629163437857515</c:v>
                </c:pt>
                <c:pt idx="39">
                  <c:v>0.99668576209776572</c:v>
                </c:pt>
                <c:pt idx="40">
                  <c:v>0.99681717928503777</c:v>
                </c:pt>
              </c:numCache>
            </c:numRef>
          </c:val>
          <c:extLst>
            <c:ext xmlns:c16="http://schemas.microsoft.com/office/drawing/2014/chart" uri="{C3380CC4-5D6E-409C-BE32-E72D297353CC}">
              <c16:uniqueId val="{00000000-BDD2-408B-B28F-F9E11A3FB942}"/>
            </c:ext>
          </c:extLst>
        </c:ser>
        <c:ser>
          <c:idx val="1"/>
          <c:order val="1"/>
          <c:tx>
            <c:strRef>
              <c:f>Data!$M$48</c:f>
              <c:strCache>
                <c:ptCount val="1"/>
                <c:pt idx="0">
                  <c:v>2</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Data!$N$48:$BB$48</c:f>
              <c:numCache>
                <c:formatCode>0.000</c:formatCode>
                <c:ptCount val="41"/>
                <c:pt idx="0">
                  <c:v>0.83302995500240329</c:v>
                </c:pt>
                <c:pt idx="1">
                  <c:v>0.83378959133791641</c:v>
                </c:pt>
                <c:pt idx="2">
                  <c:v>0.83601655572565559</c:v>
                </c:pt>
                <c:pt idx="3">
                  <c:v>0.83956620956083572</c:v>
                </c:pt>
                <c:pt idx="4">
                  <c:v>0.84423260742292117</c:v>
                </c:pt>
                <c:pt idx="5">
                  <c:v>0.84978387502455222</c:v>
                </c:pt>
                <c:pt idx="6">
                  <c:v>0.85599246467179868</c:v>
                </c:pt>
                <c:pt idx="7">
                  <c:v>0.86265370915269146</c:v>
                </c:pt>
                <c:pt idx="8">
                  <c:v>0.86959489083952746</c:v>
                </c:pt>
                <c:pt idx="9">
                  <c:v>0.87667680852952745</c:v>
                </c:pt>
                <c:pt idx="10">
                  <c:v>0.88379171279003232</c:v>
                </c:pt>
                <c:pt idx="11">
                  <c:v>0.89085902443778653</c:v>
                </c:pt>
                <c:pt idx="12">
                  <c:v>0.89782068478258181</c:v>
                </c:pt>
                <c:pt idx="13">
                  <c:v>0.90463631047588711</c:v>
                </c:pt>
                <c:pt idx="14">
                  <c:v>0.91127894087913175</c:v>
                </c:pt>
                <c:pt idx="15">
                  <c:v>0.91773113583200883</c:v>
                </c:pt>
                <c:pt idx="16">
                  <c:v>0.92398185247953712</c:v>
                </c:pt>
                <c:pt idx="17">
                  <c:v>0.93002379735934348</c:v>
                </c:pt>
                <c:pt idx="18">
                  <c:v>0.93585152617556855</c:v>
                </c:pt>
                <c:pt idx="19">
                  <c:v>0.94146000610972824</c:v>
                </c:pt>
                <c:pt idx="20">
                  <c:v>0.94684380828990267</c:v>
                </c:pt>
                <c:pt idx="21">
                  <c:v>0.9519966525685235</c:v>
                </c:pt>
                <c:pt idx="22">
                  <c:v>0.95691141797538182</c:v>
                </c:pt>
                <c:pt idx="23">
                  <c:v>0.96158033290972555</c:v>
                </c:pt>
                <c:pt idx="24">
                  <c:v>0.96599547237585393</c:v>
                </c:pt>
                <c:pt idx="25">
                  <c:v>0.97014927487142899</c:v>
                </c:pt>
                <c:pt idx="26">
                  <c:v>0.97403526933814188</c:v>
                </c:pt>
                <c:pt idx="27">
                  <c:v>0.97764857056054055</c:v>
                </c:pt>
                <c:pt idx="28">
                  <c:v>0.98098637342599071</c:v>
                </c:pt>
                <c:pt idx="29">
                  <c:v>0.98404785060825961</c:v>
                </c:pt>
                <c:pt idx="30">
                  <c:v>0.98683397360105651</c:v>
                </c:pt>
                <c:pt idx="31">
                  <c:v>0.98934681423829374</c:v>
                </c:pt>
                <c:pt idx="32">
                  <c:v>0.99158905103055373</c:v>
                </c:pt>
                <c:pt idx="33">
                  <c:v>0.99356332632191369</c:v>
                </c:pt>
                <c:pt idx="34">
                  <c:v>0.99527194797916929</c:v>
                </c:pt>
                <c:pt idx="35">
                  <c:v>0.99671659607934093</c:v>
                </c:pt>
                <c:pt idx="36">
                  <c:v>0.99789832150209645</c:v>
                </c:pt>
                <c:pt idx="37">
                  <c:v>0.99881756020647317</c:v>
                </c:pt>
                <c:pt idx="38">
                  <c:v>0.99947437300029662</c:v>
                </c:pt>
                <c:pt idx="39">
                  <c:v>0.99986857106001603</c:v>
                </c:pt>
                <c:pt idx="40">
                  <c:v>0.99999899999999997</c:v>
                </c:pt>
              </c:numCache>
            </c:numRef>
          </c:val>
          <c:extLst>
            <c:ext xmlns:c16="http://schemas.microsoft.com/office/drawing/2014/chart" uri="{C3380CC4-5D6E-409C-BE32-E72D297353CC}">
              <c16:uniqueId val="{00000001-BDD2-408B-B28F-F9E11A3FB942}"/>
            </c:ext>
          </c:extLst>
        </c:ser>
        <c:ser>
          <c:idx val="2"/>
          <c:order val="2"/>
          <c:tx>
            <c:strRef>
              <c:f>Data!$M$49</c:f>
              <c:strCache>
                <c:ptCount val="1"/>
                <c:pt idx="0">
                  <c:v>3</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Data!$N$49:$BB$49</c:f>
              <c:numCache>
                <c:formatCode>0.000</c:formatCode>
                <c:ptCount val="41"/>
                <c:pt idx="0">
                  <c:v>0.81782915689102853</c:v>
                </c:pt>
                <c:pt idx="1">
                  <c:v>0.81863393080316071</c:v>
                </c:pt>
                <c:pt idx="2">
                  <c:v>0.82098725435011144</c:v>
                </c:pt>
                <c:pt idx="3">
                  <c:v>0.82472153329881315</c:v>
                </c:pt>
                <c:pt idx="4">
                  <c:v>0.82960235148651695</c:v>
                </c:pt>
                <c:pt idx="5">
                  <c:v>0.83537251404013324</c:v>
                </c:pt>
                <c:pt idx="6">
                  <c:v>0.84178665525123297</c:v>
                </c:pt>
                <c:pt idx="7">
                  <c:v>0.84863049350331476</c:v>
                </c:pt>
                <c:pt idx="8">
                  <c:v>0.85572798954431306</c:v>
                </c:pt>
                <c:pt idx="9">
                  <c:v>0.86294064969866646</c:v>
                </c:pt>
                <c:pt idx="10">
                  <c:v>0.87016338900488677</c:v>
                </c:pt>
                <c:pt idx="11">
                  <c:v>0.87731899007808511</c:v>
                </c:pt>
                <c:pt idx="12">
                  <c:v>0.8843526453387569</c:v>
                </c:pt>
                <c:pt idx="13">
                  <c:v>0.89122682715645229</c:v>
                </c:pt>
                <c:pt idx="14">
                  <c:v>0.8979168927882859</c:v>
                </c:pt>
                <c:pt idx="15">
                  <c:v>0.90440726115748604</c:v>
                </c:pt>
                <c:pt idx="16">
                  <c:v>0.91068834100101226</c:v>
                </c:pt>
                <c:pt idx="17">
                  <c:v>0.91675402113524485</c:v>
                </c:pt>
                <c:pt idx="18">
                  <c:v>0.92259983312464988</c:v>
                </c:pt>
                <c:pt idx="19">
                  <c:v>0.92822161482494547</c:v>
                </c:pt>
                <c:pt idx="20">
                  <c:v>0.93361472772590237</c:v>
                </c:pt>
                <c:pt idx="21">
                  <c:v>0.93877365513892674</c:v>
                </c:pt>
                <c:pt idx="22">
                  <c:v>0.94369199882568577</c:v>
                </c:pt>
                <c:pt idx="23">
                  <c:v>0.94836269257223571</c:v>
                </c:pt>
                <c:pt idx="24">
                  <c:v>0.95277845983638565</c:v>
                </c:pt>
                <c:pt idx="25">
                  <c:v>0.95693233900997077</c:v>
                </c:pt>
                <c:pt idx="26">
                  <c:v>0.960818335930264</c:v>
                </c:pt>
                <c:pt idx="27">
                  <c:v>0.96443192404023848</c:v>
                </c:pt>
                <c:pt idx="28">
                  <c:v>0.96777045747851131</c:v>
                </c:pt>
                <c:pt idx="29">
                  <c:v>0.97083313559511386</c:v>
                </c:pt>
                <c:pt idx="30">
                  <c:v>0.97362079999187456</c:v>
                </c:pt>
                <c:pt idx="31">
                  <c:v>0.97613535870161772</c:v>
                </c:pt>
                <c:pt idx="32">
                  <c:v>0.97837929144523161</c:v>
                </c:pt>
                <c:pt idx="33">
                  <c:v>0.98035509574920887</c:v>
                </c:pt>
                <c:pt idx="34">
                  <c:v>0.98206496800729648</c:v>
                </c:pt>
                <c:pt idx="35">
                  <c:v>0.98351055248656571</c:v>
                </c:pt>
                <c:pt idx="36">
                  <c:v>0.98469290471932347</c:v>
                </c:pt>
                <c:pt idx="37">
                  <c:v>0.9856125217323326</c:v>
                </c:pt>
                <c:pt idx="38">
                  <c:v>0.98626952710283811</c:v>
                </c:pt>
                <c:pt idx="39">
                  <c:v>0.98666381302353823</c:v>
                </c:pt>
                <c:pt idx="40">
                  <c:v>0.98679526278783791</c:v>
                </c:pt>
              </c:numCache>
            </c:numRef>
          </c:val>
          <c:extLst>
            <c:ext xmlns:c16="http://schemas.microsoft.com/office/drawing/2014/chart" uri="{C3380CC4-5D6E-409C-BE32-E72D297353CC}">
              <c16:uniqueId val="{00000002-BDD2-408B-B28F-F9E11A3FB942}"/>
            </c:ext>
          </c:extLst>
        </c:ser>
        <c:ser>
          <c:idx val="3"/>
          <c:order val="3"/>
          <c:tx>
            <c:strRef>
              <c:f>Data!$M$50</c:f>
              <c:strCache>
                <c:ptCount val="1"/>
                <c:pt idx="0">
                  <c:v>4</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Data!$N$50:$BB$50</c:f>
              <c:numCache>
                <c:formatCode>0.000</c:formatCode>
                <c:ptCount val="41"/>
                <c:pt idx="0">
                  <c:v>0.80029206035663414</c:v>
                </c:pt>
                <c:pt idx="1">
                  <c:v>0.80114447565188796</c:v>
                </c:pt>
                <c:pt idx="2">
                  <c:v>0.80363104428247356</c:v>
                </c:pt>
                <c:pt idx="3">
                  <c:v>0.80755952859543767</c:v>
                </c:pt>
                <c:pt idx="4">
                  <c:v>0.81266523877995656</c:v>
                </c:pt>
                <c:pt idx="5">
                  <c:v>0.81866424084193889</c:v>
                </c:pt>
                <c:pt idx="6">
                  <c:v>0.82529260083194422</c:v>
                </c:pt>
                <c:pt idx="7">
                  <c:v>0.8323261422986008</c:v>
                </c:pt>
                <c:pt idx="8">
                  <c:v>0.83958555235154164</c:v>
                </c:pt>
                <c:pt idx="9">
                  <c:v>0.84693321065084648</c:v>
                </c:pt>
                <c:pt idx="10">
                  <c:v>0.8542669270750145</c:v>
                </c:pt>
                <c:pt idx="11">
                  <c:v>0.86151306065411926</c:v>
                </c:pt>
                <c:pt idx="12">
                  <c:v>0.86862026470424503</c:v>
                </c:pt>
                <c:pt idx="13">
                  <c:v>0.87555403929517073</c:v>
                </c:pt>
                <c:pt idx="14">
                  <c:v>0.88229221590612594</c:v>
                </c:pt>
                <c:pt idx="15">
                  <c:v>0.88882119224889666</c:v>
                </c:pt>
                <c:pt idx="16">
                  <c:v>0.89513293176284159</c:v>
                </c:pt>
                <c:pt idx="17">
                  <c:v>0.90122257640009384</c:v>
                </c:pt>
                <c:pt idx="18">
                  <c:v>0.90708668919224955</c:v>
                </c:pt>
                <c:pt idx="19">
                  <c:v>0.91272200758158539</c:v>
                </c:pt>
                <c:pt idx="20">
                  <c:v>0.9181247013050734</c:v>
                </c:pt>
                <c:pt idx="21">
                  <c:v>0.9232900148778449</c:v>
                </c:pt>
                <c:pt idx="22">
                  <c:v>0.92821226609115981</c:v>
                </c:pt>
                <c:pt idx="23">
                  <c:v>0.93288507328306625</c:v>
                </c:pt>
                <c:pt idx="24">
                  <c:v>0.93730178959548793</c:v>
                </c:pt>
                <c:pt idx="25">
                  <c:v>0.94145602387889604</c:v>
                </c:pt>
                <c:pt idx="26">
                  <c:v>0.94534224160794977</c:v>
                </c:pt>
                <c:pt idx="27">
                  <c:v>0.94895625414460649</c:v>
                </c:pt>
                <c:pt idx="28">
                  <c:v>0.95229558036183404</c:v>
                </c:pt>
                <c:pt idx="29">
                  <c:v>0.95535945050143989</c:v>
                </c:pt>
                <c:pt idx="30">
                  <c:v>0.9581486041060725</c:v>
                </c:pt>
                <c:pt idx="31">
                  <c:v>0.96066480175304303</c:v>
                </c:pt>
                <c:pt idx="32">
                  <c:v>0.96291035028967764</c:v>
                </c:pt>
                <c:pt idx="33">
                  <c:v>0.96488761215832575</c:v>
                </c:pt>
                <c:pt idx="34">
                  <c:v>0.9665986850560162</c:v>
                </c:pt>
                <c:pt idx="35">
                  <c:v>0.96804517635524756</c:v>
                </c:pt>
                <c:pt idx="36">
                  <c:v>0.9692281473597032</c:v>
                </c:pt>
                <c:pt idx="37">
                  <c:v>0.9701481459946335</c:v>
                </c:pt>
                <c:pt idx="38">
                  <c:v>0.97080535554281366</c:v>
                </c:pt>
                <c:pt idx="39">
                  <c:v>0.9711997372000668</c:v>
                </c:pt>
                <c:pt idx="40">
                  <c:v>0.97133121230732478</c:v>
                </c:pt>
              </c:numCache>
            </c:numRef>
          </c:val>
          <c:extLst>
            <c:ext xmlns:c16="http://schemas.microsoft.com/office/drawing/2014/chart" uri="{C3380CC4-5D6E-409C-BE32-E72D297353CC}">
              <c16:uniqueId val="{00000003-BDD2-408B-B28F-F9E11A3FB942}"/>
            </c:ext>
          </c:extLst>
        </c:ser>
        <c:ser>
          <c:idx val="4"/>
          <c:order val="4"/>
          <c:tx>
            <c:strRef>
              <c:f>Data!$M$51</c:f>
              <c:strCache>
                <c:ptCount val="1"/>
                <c:pt idx="0">
                  <c:v>5</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Data!$N$51:$BB$51</c:f>
              <c:numCache>
                <c:formatCode>0.000</c:formatCode>
                <c:ptCount val="41"/>
                <c:pt idx="0">
                  <c:v>0.78143255217801655</c:v>
                </c:pt>
                <c:pt idx="1">
                  <c:v>0.78233551837637194</c:v>
                </c:pt>
                <c:pt idx="2">
                  <c:v>0.78496323557391356</c:v>
                </c:pt>
                <c:pt idx="3">
                  <c:v>0.78909674832717702</c:v>
                </c:pt>
                <c:pt idx="4">
                  <c:v>0.79443890156779617</c:v>
                </c:pt>
                <c:pt idx="5">
                  <c:v>0.80067742601952696</c:v>
                </c:pt>
                <c:pt idx="6">
                  <c:v>0.80752905150369769</c:v>
                </c:pt>
                <c:pt idx="7">
                  <c:v>0.81475951997639728</c:v>
                </c:pt>
                <c:pt idx="8">
                  <c:v>0.82218639163916807</c:v>
                </c:pt>
                <c:pt idx="9">
                  <c:v>0.82967317442492805</c:v>
                </c:pt>
                <c:pt idx="10">
                  <c:v>0.83712085407513914</c:v>
                </c:pt>
                <c:pt idx="11">
                  <c:v>0.84445961432952699</c:v>
                </c:pt>
                <c:pt idx="12">
                  <c:v>0.85164178934056955</c:v>
                </c:pt>
                <c:pt idx="13">
                  <c:v>0.85863608519513812</c:v>
                </c:pt>
                <c:pt idx="14">
                  <c:v>0.86542295973720096</c:v>
                </c:pt>
                <c:pt idx="15">
                  <c:v>0.87199090771209598</c:v>
                </c:pt>
                <c:pt idx="16">
                  <c:v>0.87833354406334452</c:v>
                </c:pt>
                <c:pt idx="17">
                  <c:v>0.88444733275671994</c:v>
                </c:pt>
                <c:pt idx="18">
                  <c:v>0.8903299191741717</c:v>
                </c:pt>
                <c:pt idx="19">
                  <c:v>0.89597896872449168</c:v>
                </c:pt>
                <c:pt idx="20">
                  <c:v>0.90139147450466994</c:v>
                </c:pt>
                <c:pt idx="21">
                  <c:v>0.90656344096966279</c:v>
                </c:pt>
                <c:pt idx="22">
                  <c:v>0.91148989367623245</c:v>
                </c:pt>
                <c:pt idx="23">
                  <c:v>0.91616511675198975</c:v>
                </c:pt>
                <c:pt idx="24">
                  <c:v>0.92058307322529764</c:v>
                </c:pt>
                <c:pt idx="25">
                  <c:v>0.92473791646644088</c:v>
                </c:pt>
                <c:pt idx="26">
                  <c:v>0.92862455328879856</c:v>
                </c:pt>
                <c:pt idx="27">
                  <c:v>0.93223911610911558</c:v>
                </c:pt>
                <c:pt idx="28">
                  <c:v>0.93557929056811795</c:v>
                </c:pt>
                <c:pt idx="29">
                  <c:v>0.93864434388762419</c:v>
                </c:pt>
                <c:pt idx="30">
                  <c:v>0.94143493586894667</c:v>
                </c:pt>
                <c:pt idx="31">
                  <c:v>0.94395269693915251</c:v>
                </c:pt>
                <c:pt idx="32">
                  <c:v>0.94619978279920924</c:v>
                </c:pt>
                <c:pt idx="33">
                  <c:v>0.94817843206948305</c:v>
                </c:pt>
                <c:pt idx="34">
                  <c:v>0.9498906541922284</c:v>
                </c:pt>
                <c:pt idx="35">
                  <c:v>0.95133802054308569</c:v>
                </c:pt>
                <c:pt idx="36">
                  <c:v>0.95252159803960768</c:v>
                </c:pt>
                <c:pt idx="37">
                  <c:v>0.95344197804664998</c:v>
                </c:pt>
                <c:pt idx="38">
                  <c:v>0.95409939917637454</c:v>
                </c:pt>
                <c:pt idx="39">
                  <c:v>0.95449388261405799</c:v>
                </c:pt>
                <c:pt idx="40">
                  <c:v>0.95462538625539872</c:v>
                </c:pt>
              </c:numCache>
            </c:numRef>
          </c:val>
          <c:extLst>
            <c:ext xmlns:c16="http://schemas.microsoft.com/office/drawing/2014/chart" uri="{C3380CC4-5D6E-409C-BE32-E72D297353CC}">
              <c16:uniqueId val="{00000004-BDD2-408B-B28F-F9E11A3FB942}"/>
            </c:ext>
          </c:extLst>
        </c:ser>
        <c:ser>
          <c:idx val="5"/>
          <c:order val="5"/>
          <c:tx>
            <c:strRef>
              <c:f>Data!$M$52</c:f>
              <c:strCache>
                <c:ptCount val="1"/>
                <c:pt idx="0">
                  <c:v>6</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Data!$N$52:$BB$52</c:f>
              <c:numCache>
                <c:formatCode>0.000</c:formatCode>
                <c:ptCount val="41"/>
                <c:pt idx="0">
                  <c:v>0.76259229070380874</c:v>
                </c:pt>
                <c:pt idx="1">
                  <c:v>0.76354915599970952</c:v>
                </c:pt>
                <c:pt idx="2">
                  <c:v>0.76632702998344115</c:v>
                </c:pt>
                <c:pt idx="3">
                  <c:v>0.77067772505892096</c:v>
                </c:pt>
                <c:pt idx="4">
                  <c:v>0.7762690147902287</c:v>
                </c:pt>
                <c:pt idx="5">
                  <c:v>0.78275850941734204</c:v>
                </c:pt>
                <c:pt idx="6">
                  <c:v>0.78984283061582761</c:v>
                </c:pt>
                <c:pt idx="7">
                  <c:v>0.79727755401017786</c:v>
                </c:pt>
                <c:pt idx="8">
                  <c:v>0.80487736928774178</c:v>
                </c:pt>
                <c:pt idx="9">
                  <c:v>0.81250725842895766</c:v>
                </c:pt>
                <c:pt idx="10">
                  <c:v>0.82007171830793513</c:v>
                </c:pt>
                <c:pt idx="11">
                  <c:v>0.82750503802110964</c:v>
                </c:pt>
                <c:pt idx="12">
                  <c:v>0.83476346418889202</c:v>
                </c:pt>
                <c:pt idx="13">
                  <c:v>0.841819092058953</c:v>
                </c:pt>
                <c:pt idx="14">
                  <c:v>0.8486551549183764</c:v>
                </c:pt>
                <c:pt idx="15">
                  <c:v>0.85526236011608425</c:v>
                </c:pt>
                <c:pt idx="16">
                  <c:v>0.86163606550837013</c:v>
                </c:pt>
                <c:pt idx="17">
                  <c:v>0.86777412297526191</c:v>
                </c:pt>
                <c:pt idx="18">
                  <c:v>0.87367530715183206</c:v>
                </c:pt>
                <c:pt idx="19">
                  <c:v>0.87933823836614722</c:v>
                </c:pt>
                <c:pt idx="20">
                  <c:v>0.88476074605571708</c:v>
                </c:pt>
                <c:pt idx="21">
                  <c:v>0.88993959346083218</c:v>
                </c:pt>
                <c:pt idx="22">
                  <c:v>0.89487050474359031</c:v>
                </c:pt>
                <c:pt idx="23">
                  <c:v>0.89954841222331716</c:v>
                </c:pt>
                <c:pt idx="24">
                  <c:v>0.90396786879944679</c:v>
                </c:pt>
                <c:pt idx="25">
                  <c:v>0.90812354871625423</c:v>
                </c:pt>
                <c:pt idx="26">
                  <c:v>0.91201078176381134</c:v>
                </c:pt>
                <c:pt idx="27">
                  <c:v>0.91562600691938856</c:v>
                </c:pt>
                <c:pt idx="28">
                  <c:v>0.91896707664176991</c:v>
                </c:pt>
                <c:pt idx="29">
                  <c:v>0.92203330170230113</c:v>
                </c:pt>
                <c:pt idx="30">
                  <c:v>0.92482528072095926</c:v>
                </c:pt>
                <c:pt idx="31">
                  <c:v>0.92734453101127901</c:v>
                </c:pt>
                <c:pt idx="32">
                  <c:v>0.9295930760312614</c:v>
                </c:pt>
                <c:pt idx="33">
                  <c:v>0.9315730422686912</c:v>
                </c:pt>
                <c:pt idx="34">
                  <c:v>0.93328636000698217</c:v>
                </c:pt>
                <c:pt idx="35">
                  <c:v>0.93473456657580567</c:v>
                </c:pt>
                <c:pt idx="36">
                  <c:v>0.9359187338940721</c:v>
                </c:pt>
                <c:pt idx="37">
                  <c:v>0.93683949101668629</c:v>
                </c:pt>
                <c:pt idx="38">
                  <c:v>0.93749712711905031</c:v>
                </c:pt>
                <c:pt idx="39">
                  <c:v>0.93789171624559997</c:v>
                </c:pt>
                <c:pt idx="40">
                  <c:v>0.93802325051236257</c:v>
                </c:pt>
              </c:numCache>
            </c:numRef>
          </c:val>
          <c:extLst>
            <c:ext xmlns:c16="http://schemas.microsoft.com/office/drawing/2014/chart" uri="{C3380CC4-5D6E-409C-BE32-E72D297353CC}">
              <c16:uniqueId val="{00000005-BDD2-408B-B28F-F9E11A3FB942}"/>
            </c:ext>
          </c:extLst>
        </c:ser>
        <c:ser>
          <c:idx val="6"/>
          <c:order val="6"/>
          <c:tx>
            <c:strRef>
              <c:f>Data!$M$53</c:f>
              <c:strCache>
                <c:ptCount val="1"/>
                <c:pt idx="0">
                  <c:v>7</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Data!$N$53:$BB$53</c:f>
              <c:numCache>
                <c:formatCode>0.000</c:formatCode>
                <c:ptCount val="41"/>
                <c:pt idx="0">
                  <c:v>0.74364900033530867</c:v>
                </c:pt>
                <c:pt idx="1">
                  <c:v>0.74466359697770756</c:v>
                </c:pt>
                <c:pt idx="2">
                  <c:v>0.74760185159409731</c:v>
                </c:pt>
                <c:pt idx="3">
                  <c:v>0.75218332792143827</c:v>
                </c:pt>
                <c:pt idx="4">
                  <c:v>0.75803767148322898</c:v>
                </c:pt>
                <c:pt idx="5">
                  <c:v>0.76479038948327382</c:v>
                </c:pt>
                <c:pt idx="6">
                  <c:v>0.77211723515776354</c:v>
                </c:pt>
                <c:pt idx="7">
                  <c:v>0.77976364797149744</c:v>
                </c:pt>
                <c:pt idx="8">
                  <c:v>0.78754182373555848</c:v>
                </c:pt>
                <c:pt idx="9">
                  <c:v>0.7953186577734862</c:v>
                </c:pt>
                <c:pt idx="10">
                  <c:v>0.80300254965623308</c:v>
                </c:pt>
                <c:pt idx="11">
                  <c:v>0.81053220576813745</c:v>
                </c:pt>
                <c:pt idx="12">
                  <c:v>0.81786802884850618</c:v>
                </c:pt>
                <c:pt idx="13">
                  <c:v>0.8249856901598781</c:v>
                </c:pt>
                <c:pt idx="14">
                  <c:v>0.83187134478828262</c:v>
                </c:pt>
                <c:pt idx="15">
                  <c:v>0.83851802480082815</c:v>
                </c:pt>
                <c:pt idx="16">
                  <c:v>0.84492291736927416</c:v>
                </c:pt>
                <c:pt idx="17">
                  <c:v>0.8510853246410931</c:v>
                </c:pt>
                <c:pt idx="18">
                  <c:v>0.85700519372710959</c:v>
                </c:pt>
                <c:pt idx="19">
                  <c:v>0.86268212489057161</c:v>
                </c:pt>
                <c:pt idx="20">
                  <c:v>0.86811479498936939</c:v>
                </c:pt>
                <c:pt idx="21">
                  <c:v>0.87330072448522045</c:v>
                </c:pt>
                <c:pt idx="22">
                  <c:v>0.87823632632667825</c:v>
                </c:pt>
                <c:pt idx="23">
                  <c:v>0.88291716402986808</c:v>
                </c:pt>
                <c:pt idx="24">
                  <c:v>0.88733836045370273</c:v>
                </c:pt>
                <c:pt idx="25">
                  <c:v>0.89149508861993332</c:v>
                </c:pt>
                <c:pt idx="26">
                  <c:v>0.89538308328467886</c:v>
                </c:pt>
                <c:pt idx="27">
                  <c:v>0.89899907696046655</c:v>
                </c:pt>
                <c:pt idx="28">
                  <c:v>0.90234108776887978</c:v>
                </c:pt>
                <c:pt idx="29">
                  <c:v>0.90540847640674049</c:v>
                </c:pt>
                <c:pt idx="30">
                  <c:v>0.90820179613774799</c:v>
                </c:pt>
                <c:pt idx="31">
                  <c:v>0.91072246738951579</c:v>
                </c:pt>
                <c:pt idx="32">
                  <c:v>0.91297239823307963</c:v>
                </c:pt>
                <c:pt idx="33">
                  <c:v>0.91495361462478886</c:v>
                </c:pt>
                <c:pt idx="34">
                  <c:v>0.91666797594536809</c:v>
                </c:pt>
                <c:pt idx="35">
                  <c:v>0.91811698799935393</c:v>
                </c:pt>
                <c:pt idx="36">
                  <c:v>0.9193017270435887</c:v>
                </c:pt>
                <c:pt idx="37">
                  <c:v>0.92022285521244029</c:v>
                </c:pt>
                <c:pt idx="38">
                  <c:v>0.92088070754422424</c:v>
                </c:pt>
                <c:pt idx="39">
                  <c:v>0.92127540504576799</c:v>
                </c:pt>
                <c:pt idx="40">
                  <c:v>0.92140697140725281</c:v>
                </c:pt>
              </c:numCache>
            </c:numRef>
          </c:val>
          <c:extLst>
            <c:ext xmlns:c16="http://schemas.microsoft.com/office/drawing/2014/chart" uri="{C3380CC4-5D6E-409C-BE32-E72D297353CC}">
              <c16:uniqueId val="{00000006-BDD2-408B-B28F-F9E11A3FB942}"/>
            </c:ext>
          </c:extLst>
        </c:ser>
        <c:ser>
          <c:idx val="7"/>
          <c:order val="7"/>
          <c:tx>
            <c:strRef>
              <c:f>Data!$M$54</c:f>
              <c:strCache>
                <c:ptCount val="1"/>
                <c:pt idx="0">
                  <c:v>8</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Data!$N$54:$BB$54</c:f>
              <c:numCache>
                <c:formatCode>0.000</c:formatCode>
                <c:ptCount val="41"/>
                <c:pt idx="0">
                  <c:v>0.72488780705201405</c:v>
                </c:pt>
                <c:pt idx="1">
                  <c:v>0.72596450447792749</c:v>
                </c:pt>
                <c:pt idx="2">
                  <c:v>0.72907470586578382</c:v>
                </c:pt>
                <c:pt idx="3">
                  <c:v>0.73390213200088961</c:v>
                </c:pt>
                <c:pt idx="4">
                  <c:v>0.74003474818863602</c:v>
                </c:pt>
                <c:pt idx="5">
                  <c:v>0.74706377394598911</c:v>
                </c:pt>
                <c:pt idx="6">
                  <c:v>0.75464336549587585</c:v>
                </c:pt>
                <c:pt idx="7">
                  <c:v>0.7625089891198179</c:v>
                </c:pt>
                <c:pt idx="8">
                  <c:v>0.7704708554648011</c:v>
                </c:pt>
                <c:pt idx="9">
                  <c:v>0.77839830984227087</c:v>
                </c:pt>
                <c:pt idx="10">
                  <c:v>0.78620410388255102</c:v>
                </c:pt>
                <c:pt idx="11">
                  <c:v>0.79383170368946554</c:v>
                </c:pt>
                <c:pt idx="12">
                  <c:v>0.80124592362492841</c:v>
                </c:pt>
                <c:pt idx="13">
                  <c:v>0.80842620064791548</c:v>
                </c:pt>
                <c:pt idx="14">
                  <c:v>0.81536175526434063</c:v>
                </c:pt>
                <c:pt idx="15">
                  <c:v>0.82204805240553114</c:v>
                </c:pt>
                <c:pt idx="16">
                  <c:v>0.82848419006812535</c:v>
                </c:pt>
                <c:pt idx="17">
                  <c:v>0.83467097911240962</c:v>
                </c:pt>
                <c:pt idx="18">
                  <c:v>0.84060957880149745</c:v>
                </c:pt>
                <c:pt idx="19">
                  <c:v>0.84630059209176089</c:v>
                </c:pt>
                <c:pt idx="20">
                  <c:v>0.85174355254139378</c:v>
                </c:pt>
                <c:pt idx="21">
                  <c:v>0.85693673555099037</c:v>
                </c:pt>
                <c:pt idx="22">
                  <c:v>0.86187723248501957</c:v>
                </c:pt>
                <c:pt idx="23">
                  <c:v>0.86656122137138392</c:v>
                </c:pt>
                <c:pt idx="24">
                  <c:v>0.87098437535813722</c:v>
                </c:pt>
                <c:pt idx="25">
                  <c:v>0.87514234528388957</c:v>
                </c:pt>
                <c:pt idx="26">
                  <c:v>0.87903125337535182</c:v>
                </c:pt>
                <c:pt idx="27">
                  <c:v>0.88264811362548945</c:v>
                </c:pt>
                <c:pt idx="28">
                  <c:v>0.88599110788726043</c:v>
                </c:pt>
                <c:pt idx="29">
                  <c:v>0.88905965262082587</c:v>
                </c:pt>
                <c:pt idx="30">
                  <c:v>0.89185426945749169</c:v>
                </c:pt>
                <c:pt idx="31">
                  <c:v>0.89437629709166944</c:v>
                </c:pt>
                <c:pt idx="32">
                  <c:v>0.89662754347411766</c:v>
                </c:pt>
                <c:pt idx="33">
                  <c:v>0.89860994524898608</c:v>
                </c:pt>
                <c:pt idx="34">
                  <c:v>0.9003252985834348</c:v>
                </c:pt>
                <c:pt idx="35">
                  <c:v>0.90177508058964195</c:v>
                </c:pt>
                <c:pt idx="36">
                  <c:v>0.90296037132880302</c:v>
                </c:pt>
                <c:pt idx="37">
                  <c:v>0.9038818622291942</c:v>
                </c:pt>
                <c:pt idx="38">
                  <c:v>0.90453992977758746</c:v>
                </c:pt>
                <c:pt idx="39">
                  <c:v>0.90493473692734816</c:v>
                </c:pt>
                <c:pt idx="40">
                  <c:v>0.90506633625673472</c:v>
                </c:pt>
              </c:numCache>
            </c:numRef>
          </c:val>
          <c:extLst>
            <c:ext xmlns:c16="http://schemas.microsoft.com/office/drawing/2014/chart" uri="{C3380CC4-5D6E-409C-BE32-E72D297353CC}">
              <c16:uniqueId val="{00000007-BDD2-408B-B28F-F9E11A3FB942}"/>
            </c:ext>
          </c:extLst>
        </c:ser>
        <c:ser>
          <c:idx val="8"/>
          <c:order val="8"/>
          <c:tx>
            <c:strRef>
              <c:f>Data!$M$55</c:f>
              <c:strCache>
                <c:ptCount val="1"/>
                <c:pt idx="0">
                  <c:v>9</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Data!$N$55:$BB$55</c:f>
              <c:numCache>
                <c:formatCode>0.000</c:formatCode>
                <c:ptCount val="41"/>
                <c:pt idx="0">
                  <c:v>0.70611291416222033</c:v>
                </c:pt>
                <c:pt idx="1">
                  <c:v>0.707256685830145</c:v>
                </c:pt>
                <c:pt idx="2">
                  <c:v>0.7105518962672398</c:v>
                </c:pt>
                <c:pt idx="3">
                  <c:v>0.71564215966416589</c:v>
                </c:pt>
                <c:pt idx="4">
                  <c:v>0.72206965937017087</c:v>
                </c:pt>
                <c:pt idx="5">
                  <c:v>0.72938893907551672</c:v>
                </c:pt>
                <c:pt idx="6">
                  <c:v>0.73723188638421056</c:v>
                </c:pt>
                <c:pt idx="7">
                  <c:v>0.74532431224053863</c:v>
                </c:pt>
                <c:pt idx="8">
                  <c:v>0.75347509551674485</c:v>
                </c:pt>
                <c:pt idx="9">
                  <c:v>0.76155666943410849</c:v>
                </c:pt>
                <c:pt idx="10">
                  <c:v>0.76948664552336288</c:v>
                </c:pt>
                <c:pt idx="11">
                  <c:v>0.77721362142530359</c:v>
                </c:pt>
                <c:pt idx="12">
                  <c:v>0.78470708969890612</c:v>
                </c:pt>
                <c:pt idx="13">
                  <c:v>0.79195044457754094</c:v>
                </c:pt>
                <c:pt idx="14">
                  <c:v>0.79893611255035613</c:v>
                </c:pt>
                <c:pt idx="15">
                  <c:v>0.80566209512797937</c:v>
                </c:pt>
                <c:pt idx="16">
                  <c:v>0.81212947769822286</c:v>
                </c:pt>
                <c:pt idx="17">
                  <c:v>0.81834063413001823</c:v>
                </c:pt>
                <c:pt idx="18">
                  <c:v>0.82429797194821153</c:v>
                </c:pt>
                <c:pt idx="19">
                  <c:v>0.83000311710886354</c:v>
                </c:pt>
                <c:pt idx="20">
                  <c:v>0.8354564673222854</c:v>
                </c:pt>
                <c:pt idx="21">
                  <c:v>0.84065704971848609</c:v>
                </c:pt>
                <c:pt idx="22">
                  <c:v>0.84560262313884926</c:v>
                </c:pt>
                <c:pt idx="23">
                  <c:v>0.85028996352915587</c:v>
                </c:pt>
                <c:pt idx="24">
                  <c:v>0.85471527489767218</c:v>
                </c:pt>
                <c:pt idx="25">
                  <c:v>0.85887466577939187</c:v>
                </c:pt>
                <c:pt idx="26">
                  <c:v>0.86276462890912575</c:v>
                </c:pt>
                <c:pt idx="27">
                  <c:v>0.86638244834803757</c:v>
                </c:pt>
                <c:pt idx="28">
                  <c:v>0.86972646719783731</c:v>
                </c:pt>
                <c:pt idx="29">
                  <c:v>0.87279616284631922</c:v>
                </c:pt>
                <c:pt idx="30">
                  <c:v>0.87559203732273094</c:v>
                </c:pt>
                <c:pt idx="31">
                  <c:v>0.87811536160218451</c:v>
                </c:pt>
                <c:pt idx="32">
                  <c:v>0.88036785747092738</c:v>
                </c:pt>
                <c:pt idx="33">
                  <c:v>0.88235138299543248</c:v>
                </c:pt>
                <c:pt idx="34">
                  <c:v>0.88406767838841216</c:v>
                </c:pt>
                <c:pt idx="35">
                  <c:v>0.88551819507508001</c:v>
                </c:pt>
                <c:pt idx="36">
                  <c:v>0.88670401658758113</c:v>
                </c:pt>
                <c:pt idx="37">
                  <c:v>0.88762586050302439</c:v>
                </c:pt>
                <c:pt idx="38">
                  <c:v>0.88828414070503658</c:v>
                </c:pt>
                <c:pt idx="39">
                  <c:v>0.88867905774677913</c:v>
                </c:pt>
                <c:pt idx="40">
                  <c:v>0.88881069049635719</c:v>
                </c:pt>
              </c:numCache>
            </c:numRef>
          </c:val>
          <c:extLst>
            <c:ext xmlns:c16="http://schemas.microsoft.com/office/drawing/2014/chart" uri="{C3380CC4-5D6E-409C-BE32-E72D297353CC}">
              <c16:uniqueId val="{00000008-BDD2-408B-B28F-F9E11A3FB942}"/>
            </c:ext>
          </c:extLst>
        </c:ser>
        <c:ser>
          <c:idx val="9"/>
          <c:order val="9"/>
          <c:tx>
            <c:strRef>
              <c:f>Data!$M$56</c:f>
              <c:strCache>
                <c:ptCount val="1"/>
                <c:pt idx="0">
                  <c:v>10</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Data!$N$56:$BB$56</c:f>
              <c:numCache>
                <c:formatCode>0.000</c:formatCode>
                <c:ptCount val="41"/>
                <c:pt idx="0">
                  <c:v>0.68746107032564729</c:v>
                </c:pt>
                <c:pt idx="1">
                  <c:v>0.68867757260435902</c:v>
                </c:pt>
                <c:pt idx="2">
                  <c:v>0.69217253046421101</c:v>
                </c:pt>
                <c:pt idx="3">
                  <c:v>0.69754440566945275</c:v>
                </c:pt>
                <c:pt idx="4">
                  <c:v>0.70428488500575359</c:v>
                </c:pt>
                <c:pt idx="5">
                  <c:v>0.71190924813557954</c:v>
                </c:pt>
                <c:pt idx="6">
                  <c:v>0.72002653172320874</c:v>
                </c:pt>
                <c:pt idx="7">
                  <c:v>0.72835339083646855</c:v>
                </c:pt>
                <c:pt idx="8">
                  <c:v>0.7366981845366205</c:v>
                </c:pt>
                <c:pt idx="9">
                  <c:v>0.74493717725301645</c:v>
                </c:pt>
                <c:pt idx="10">
                  <c:v>0.75299340686686012</c:v>
                </c:pt>
                <c:pt idx="11">
                  <c:v>0.76082100239045325</c:v>
                </c:pt>
                <c:pt idx="12">
                  <c:v>0.76839441110040307</c:v>
                </c:pt>
                <c:pt idx="13">
                  <c:v>0.77570117696303886</c:v>
                </c:pt>
                <c:pt idx="14">
                  <c:v>0.78273706947665711</c:v>
                </c:pt>
                <c:pt idx="15">
                  <c:v>0.78950272558530854</c:v>
                </c:pt>
                <c:pt idx="16">
                  <c:v>0.79600128955833782</c:v>
                </c:pt>
                <c:pt idx="17">
                  <c:v>0.80223674820842739</c:v>
                </c:pt>
                <c:pt idx="18">
                  <c:v>0.80821278982455347</c:v>
                </c:pt>
                <c:pt idx="19">
                  <c:v>0.81393208105993986</c:v>
                </c:pt>
                <c:pt idx="20">
                  <c:v>0.8193958893551827</c:v>
                </c:pt>
                <c:pt idx="21">
                  <c:v>0.8246039892824838</c:v>
                </c:pt>
                <c:pt idx="22">
                  <c:v>0.82955479561872003</c:v>
                </c:pt>
                <c:pt idx="23">
                  <c:v>0.83424566557884461</c:v>
                </c:pt>
                <c:pt idx="24">
                  <c:v>0.8386733148236859</c:v>
                </c:pt>
                <c:pt idx="25">
                  <c:v>0.84283429009412414</c:v>
                </c:pt>
                <c:pt idx="26">
                  <c:v>0.84672543817444834</c:v>
                </c:pt>
                <c:pt idx="27">
                  <c:v>0.85034430222500368</c:v>
                </c:pt>
                <c:pt idx="28">
                  <c:v>0.85368938368736025</c:v>
                </c:pt>
                <c:pt idx="29">
                  <c:v>0.85676022532269946</c:v>
                </c:pt>
                <c:pt idx="30">
                  <c:v>0.85955732016841779</c:v>
                </c:pt>
                <c:pt idx="31">
                  <c:v>0.86208188436181676</c:v>
                </c:pt>
                <c:pt idx="32">
                  <c:v>0.86433556636714182</c:v>
                </c:pt>
                <c:pt idx="33">
                  <c:v>0.86632015585569377</c:v>
                </c:pt>
                <c:pt idx="34">
                  <c:v>0.86803734399879839</c:v>
                </c:pt>
                <c:pt idx="35">
                  <c:v>0.86948855962738103</c:v>
                </c:pt>
                <c:pt idx="36">
                  <c:v>0.87067488964240003</c:v>
                </c:pt>
                <c:pt idx="37">
                  <c:v>0.87159707513089557</c:v>
                </c:pt>
                <c:pt idx="38">
                  <c:v>0.87225556372716939</c:v>
                </c:pt>
                <c:pt idx="39">
                  <c:v>0.87265058975902987</c:v>
                </c:pt>
                <c:pt idx="40">
                  <c:v>0.87278225594939041</c:v>
                </c:pt>
              </c:numCache>
            </c:numRef>
          </c:val>
          <c:extLst>
            <c:ext xmlns:c16="http://schemas.microsoft.com/office/drawing/2014/chart" uri="{C3380CC4-5D6E-409C-BE32-E72D297353CC}">
              <c16:uniqueId val="{00000009-BDD2-408B-B28F-F9E11A3FB942}"/>
            </c:ext>
          </c:extLst>
        </c:ser>
        <c:ser>
          <c:idx val="10"/>
          <c:order val="10"/>
          <c:tx>
            <c:strRef>
              <c:f>Data!$M$57</c:f>
              <c:strCache>
                <c:ptCount val="1"/>
                <c:pt idx="0">
                  <c:v>11</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Data!$N$57:$BB$57</c:f>
              <c:numCache>
                <c:formatCode>0.000</c:formatCode>
                <c:ptCount val="41"/>
                <c:pt idx="0">
                  <c:v>0.66881510103339492</c:v>
                </c:pt>
                <c:pt idx="1">
                  <c:v>0.6701107701029797</c:v>
                </c:pt>
                <c:pt idx="2">
                  <c:v>0.67382210529796738</c:v>
                </c:pt>
                <c:pt idx="3">
                  <c:v>0.67949645032519446</c:v>
                </c:pt>
                <c:pt idx="4">
                  <c:v>0.68656959485414204</c:v>
                </c:pt>
                <c:pt idx="5">
                  <c:v>0.69451477584738663</c:v>
                </c:pt>
                <c:pt idx="6">
                  <c:v>0.70291772644995698</c:v>
                </c:pt>
                <c:pt idx="7">
                  <c:v>0.7114866581440763</c:v>
                </c:pt>
                <c:pt idx="8">
                  <c:v>0.72003039540791369</c:v>
                </c:pt>
                <c:pt idx="9">
                  <c:v>0.72842988622738392</c:v>
                </c:pt>
                <c:pt idx="10">
                  <c:v>0.73661421920046932</c:v>
                </c:pt>
                <c:pt idx="11">
                  <c:v>0.74454348065223985</c:v>
                </c:pt>
                <c:pt idx="12">
                  <c:v>0.75219735746040262</c:v>
                </c:pt>
                <c:pt idx="13">
                  <c:v>0.75956773549407208</c:v>
                </c:pt>
                <c:pt idx="14">
                  <c:v>0.76665386007857395</c:v>
                </c:pt>
                <c:pt idx="15">
                  <c:v>0.77345909714828986</c:v>
                </c:pt>
                <c:pt idx="16">
                  <c:v>0.77998871604698305</c:v>
                </c:pt>
                <c:pt idx="17">
                  <c:v>0.7862483619337719</c:v>
                </c:pt>
                <c:pt idx="18">
                  <c:v>0.79224303266511853</c:v>
                </c:pt>
                <c:pt idx="19">
                  <c:v>0.79797645055209887</c:v>
                </c:pt>
                <c:pt idx="20">
                  <c:v>0.80345075639558738</c:v>
                </c:pt>
                <c:pt idx="21">
                  <c:v>0.80866646672693032</c:v>
                </c:pt>
                <c:pt idx="22">
                  <c:v>0.81362264002768059</c:v>
                </c:pt>
                <c:pt idx="23">
                  <c:v>0.81831719795951263</c:v>
                </c:pt>
                <c:pt idx="24">
                  <c:v>0.82274734876241995</c:v>
                </c:pt>
                <c:pt idx="25">
                  <c:v>0.82691005837267195</c:v>
                </c:pt>
                <c:pt idx="26">
                  <c:v>0.83080251158174589</c:v>
                </c:pt>
                <c:pt idx="27">
                  <c:v>0.83442249997375584</c:v>
                </c:pt>
                <c:pt idx="28">
                  <c:v>0.83776868007236738</c:v>
                </c:pt>
                <c:pt idx="29">
                  <c:v>0.84084066374269173</c:v>
                </c:pt>
                <c:pt idx="30">
                  <c:v>0.84363894442396115</c:v>
                </c:pt>
                <c:pt idx="31">
                  <c:v>0.84616469523399407</c:v>
                </c:pt>
                <c:pt idx="32">
                  <c:v>0.84841950316906234</c:v>
                </c:pt>
                <c:pt idx="33">
                  <c:v>0.85040509915217166</c:v>
                </c:pt>
                <c:pt idx="34">
                  <c:v>0.85212313191899214</c:v>
                </c:pt>
                <c:pt idx="35">
                  <c:v>0.85357501084560172</c:v>
                </c:pt>
                <c:pt idx="36">
                  <c:v>0.8547618263163046</c:v>
                </c:pt>
                <c:pt idx="37">
                  <c:v>0.8556843407183079</c:v>
                </c:pt>
                <c:pt idx="38">
                  <c:v>0.85634303217278007</c:v>
                </c:pt>
                <c:pt idx="39">
                  <c:v>0.85673816539712588</c:v>
                </c:pt>
                <c:pt idx="40">
                  <c:v>0.85686986471351023</c:v>
                </c:pt>
              </c:numCache>
            </c:numRef>
          </c:val>
          <c:extLst>
            <c:ext xmlns:c16="http://schemas.microsoft.com/office/drawing/2014/chart" uri="{C3380CC4-5D6E-409C-BE32-E72D297353CC}">
              <c16:uniqueId val="{0000000F-1CF6-4DA6-96CA-D0CF8D2D7972}"/>
            </c:ext>
          </c:extLst>
        </c:ser>
        <c:ser>
          <c:idx val="11"/>
          <c:order val="11"/>
          <c:tx>
            <c:strRef>
              <c:f>Data!$M$58</c:f>
              <c:strCache>
                <c:ptCount val="1"/>
                <c:pt idx="0">
                  <c:v>12</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Data!$N$58:$BB$58</c:f>
              <c:numCache>
                <c:formatCode>0.000</c:formatCode>
                <c:ptCount val="41"/>
                <c:pt idx="0">
                  <c:v>0.65025793293224698</c:v>
                </c:pt>
                <c:pt idx="1">
                  <c:v>0.6516400999656673</c:v>
                </c:pt>
                <c:pt idx="2">
                  <c:v>0.65558658761305144</c:v>
                </c:pt>
                <c:pt idx="3">
                  <c:v>0.66158656646129754</c:v>
                </c:pt>
                <c:pt idx="4">
                  <c:v>0.66901375934783691</c:v>
                </c:pt>
                <c:pt idx="5">
                  <c:v>0.67729640972791139</c:v>
                </c:pt>
                <c:pt idx="6">
                  <c:v>0.68599667501567008</c:v>
                </c:pt>
                <c:pt idx="7">
                  <c:v>0.6948152843452291</c:v>
                </c:pt>
                <c:pt idx="8">
                  <c:v>0.7035627016594681</c:v>
                </c:pt>
                <c:pt idx="9">
                  <c:v>0.71212552305672128</c:v>
                </c:pt>
                <c:pt idx="10">
                  <c:v>0.72043956869901515</c:v>
                </c:pt>
                <c:pt idx="11">
                  <c:v>0.72847133188067936</c:v>
                </c:pt>
                <c:pt idx="12">
                  <c:v>0.7362060304182042</c:v>
                </c:pt>
                <c:pt idx="13">
                  <c:v>0.74364008262563741</c:v>
                </c:pt>
                <c:pt idx="14">
                  <c:v>0.75077633751585682</c:v>
                </c:pt>
                <c:pt idx="15">
                  <c:v>0.75762097777667059</c:v>
                </c:pt>
                <c:pt idx="16">
                  <c:v>0.76418145850362384</c:v>
                </c:pt>
                <c:pt idx="17">
                  <c:v>0.77046512388787924</c:v>
                </c:pt>
                <c:pt idx="18">
                  <c:v>0.77647830636560344</c:v>
                </c:pt>
                <c:pt idx="19">
                  <c:v>0.78222579602369935</c:v>
                </c:pt>
                <c:pt idx="20">
                  <c:v>0.78771060862692444</c:v>
                </c:pt>
                <c:pt idx="21">
                  <c:v>0.79293399587845725</c:v>
                </c:pt>
                <c:pt idx="22">
                  <c:v>0.79789564698341109</c:v>
                </c:pt>
                <c:pt idx="23">
                  <c:v>0.80259403095364246</c:v>
                </c:pt>
                <c:pt idx="24">
                  <c:v>0.80702682959745453</c:v>
                </c:pt>
                <c:pt idx="25">
                  <c:v>0.8111914093794006</c:v>
                </c:pt>
                <c:pt idx="26">
                  <c:v>0.81508527740426751</c:v>
                </c:pt>
                <c:pt idx="27">
                  <c:v>0.81870646320044882</c:v>
                </c:pt>
                <c:pt idx="28">
                  <c:v>0.82205377478888997</c:v>
                </c:pt>
                <c:pt idx="29">
                  <c:v>0.82512689620165036</c:v>
                </c:pt>
                <c:pt idx="30">
                  <c:v>0.8279263296089403</c:v>
                </c:pt>
                <c:pt idx="31">
                  <c:v>0.83045321593013199</c:v>
                </c:pt>
                <c:pt idx="32">
                  <c:v>0.83270909167862428</c:v>
                </c:pt>
                <c:pt idx="33">
                  <c:v>0.83469563814109404</c:v>
                </c:pt>
                <c:pt idx="34">
                  <c:v>0.83641446794796814</c:v>
                </c:pt>
                <c:pt idx="35">
                  <c:v>0.83786697417666889</c:v>
                </c:pt>
                <c:pt idx="36">
                  <c:v>0.83905425100950193</c:v>
                </c:pt>
                <c:pt idx="37">
                  <c:v>0.8399770802908777</c:v>
                </c:pt>
                <c:pt idx="38">
                  <c:v>0.84063596772982507</c:v>
                </c:pt>
                <c:pt idx="39">
                  <c:v>0.84103120541883358</c:v>
                </c:pt>
                <c:pt idx="40">
                  <c:v>0.84116293720601143</c:v>
                </c:pt>
              </c:numCache>
            </c:numRef>
          </c:val>
          <c:extLst>
            <c:ext xmlns:c16="http://schemas.microsoft.com/office/drawing/2014/chart" uri="{C3380CC4-5D6E-409C-BE32-E72D297353CC}">
              <c16:uniqueId val="{0000000A-86DE-4052-8ACD-5AA112FE4966}"/>
            </c:ext>
          </c:extLst>
        </c:ser>
        <c:ser>
          <c:idx val="12"/>
          <c:order val="12"/>
          <c:tx>
            <c:strRef>
              <c:f>Data!$M$59</c:f>
              <c:strCache>
                <c:ptCount val="1"/>
                <c:pt idx="0">
                  <c:v>13</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Data!$N$59:$BB$59</c:f>
              <c:numCache>
                <c:formatCode>0.000</c:formatCode>
                <c:ptCount val="41"/>
                <c:pt idx="0">
                  <c:v>0.63170846781176371</c:v>
                </c:pt>
                <c:pt idx="1">
                  <c:v>0.63318549955777437</c:v>
                </c:pt>
                <c:pt idx="2">
                  <c:v>0.63738836201569093</c:v>
                </c:pt>
                <c:pt idx="3">
                  <c:v>0.64373970056603902</c:v>
                </c:pt>
                <c:pt idx="4">
                  <c:v>0.65154413879037221</c:v>
                </c:pt>
                <c:pt idx="5">
                  <c:v>0.66018183381663187</c:v>
                </c:pt>
                <c:pt idx="6">
                  <c:v>0.66919133789890228</c:v>
                </c:pt>
                <c:pt idx="7">
                  <c:v>0.67826714894361917</c:v>
                </c:pt>
                <c:pt idx="8">
                  <c:v>0.68722274903578173</c:v>
                </c:pt>
                <c:pt idx="9">
                  <c:v>0.69595146130509089</c:v>
                </c:pt>
                <c:pt idx="10">
                  <c:v>0.70439657235354036</c:v>
                </c:pt>
                <c:pt idx="11">
                  <c:v>0.71253145276279461</c:v>
                </c:pt>
                <c:pt idx="12">
                  <c:v>0.72034714677381151</c:v>
                </c:pt>
                <c:pt idx="13">
                  <c:v>0.72784479254530754</c:v>
                </c:pt>
                <c:pt idx="14">
                  <c:v>0.7350309647844433</c:v>
                </c:pt>
                <c:pt idx="15">
                  <c:v>0.74191474440478167</c:v>
                </c:pt>
                <c:pt idx="16">
                  <c:v>0.74850582712593294</c:v>
                </c:pt>
                <c:pt idx="17">
                  <c:v>0.75481329197936242</c:v>
                </c:pt>
                <c:pt idx="18">
                  <c:v>0.76084482708856571</c:v>
                </c:pt>
                <c:pt idx="19">
                  <c:v>0.76660629949452042</c:v>
                </c:pt>
                <c:pt idx="20">
                  <c:v>0.77210159942373857</c:v>
                </c:pt>
                <c:pt idx="21">
                  <c:v>0.7773327055614635</c:v>
                </c:pt>
                <c:pt idx="22">
                  <c:v>0.78229992402545878</c:v>
                </c:pt>
                <c:pt idx="23">
                  <c:v>0.78700225370074706</c:v>
                </c:pt>
                <c:pt idx="24">
                  <c:v>0.79143783093438991</c:v>
                </c:pt>
                <c:pt idx="25">
                  <c:v>0.79560440427974921</c:v>
                </c:pt>
                <c:pt idx="26">
                  <c:v>0.79949978771781816</c:v>
                </c:pt>
                <c:pt idx="27">
                  <c:v>0.80312223834791285</c:v>
                </c:pt>
                <c:pt idx="28">
                  <c:v>0.80647071181823837</c:v>
                </c:pt>
                <c:pt idx="29">
                  <c:v>0.80954496674670584</c:v>
                </c:pt>
                <c:pt idx="30">
                  <c:v>0.81234552143791261</c:v>
                </c:pt>
                <c:pt idx="31">
                  <c:v>0.81487349452463209</c:v>
                </c:pt>
                <c:pt idx="32">
                  <c:v>0.81713038223761758</c:v>
                </c:pt>
                <c:pt idx="33">
                  <c:v>0.81911782484658313</c:v>
                </c:pt>
                <c:pt idx="34">
                  <c:v>0.82083740494963187</c:v>
                </c:pt>
                <c:pt idx="35">
                  <c:v>0.82229050248269508</c:v>
                </c:pt>
                <c:pt idx="36">
                  <c:v>0.82347821591222703</c:v>
                </c:pt>
                <c:pt idx="37">
                  <c:v>0.82440134501583584</c:v>
                </c:pt>
                <c:pt idx="38">
                  <c:v>0.82506042051968642</c:v>
                </c:pt>
                <c:pt idx="39">
                  <c:v>0.82545575919595404</c:v>
                </c:pt>
                <c:pt idx="40">
                  <c:v>0.82558752252660383</c:v>
                </c:pt>
              </c:numCache>
            </c:numRef>
          </c:val>
          <c:extLst>
            <c:ext xmlns:c16="http://schemas.microsoft.com/office/drawing/2014/chart" uri="{C3380CC4-5D6E-409C-BE32-E72D297353CC}">
              <c16:uniqueId val="{0000000B-86DE-4052-8ACD-5AA112FE4966}"/>
            </c:ext>
          </c:extLst>
        </c:ser>
        <c:ser>
          <c:idx val="13"/>
          <c:order val="13"/>
          <c:tx>
            <c:strRef>
              <c:f>Data!$M$60</c:f>
              <c:strCache>
                <c:ptCount val="1"/>
                <c:pt idx="0">
                  <c:v>14</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Data!$N$60:$BB$60</c:f>
              <c:numCache>
                <c:formatCode>0.000</c:formatCode>
                <c:ptCount val="41"/>
                <c:pt idx="0">
                  <c:v>0.61322103122020588</c:v>
                </c:pt>
                <c:pt idx="1">
                  <c:v>0.61480249860014435</c:v>
                </c:pt>
                <c:pt idx="2">
                  <c:v>0.61928576282909109</c:v>
                </c:pt>
                <c:pt idx="3">
                  <c:v>0.62601703863340674</c:v>
                </c:pt>
                <c:pt idx="4">
                  <c:v>0.63422385148308058</c:v>
                </c:pt>
                <c:pt idx="5">
                  <c:v>0.64323508356076864</c:v>
                </c:pt>
                <c:pt idx="6">
                  <c:v>0.65256597189167198</c:v>
                </c:pt>
                <c:pt idx="7">
                  <c:v>0.66190637006778674</c:v>
                </c:pt>
                <c:pt idx="8">
                  <c:v>0.67107437738135711</c:v>
                </c:pt>
                <c:pt idx="9">
                  <c:v>0.67997123817392047</c:v>
                </c:pt>
                <c:pt idx="10">
                  <c:v>0.68854849089745629</c:v>
                </c:pt>
                <c:pt idx="11">
                  <c:v>0.6967868707406637</c:v>
                </c:pt>
                <c:pt idx="12">
                  <c:v>0.70468354535617139</c:v>
                </c:pt>
                <c:pt idx="13">
                  <c:v>0.71224455531190645</c:v>
                </c:pt>
                <c:pt idx="14">
                  <c:v>0.71948031621720521</c:v>
                </c:pt>
                <c:pt idx="15">
                  <c:v>0.72640288183693436</c:v>
                </c:pt>
                <c:pt idx="16">
                  <c:v>0.73302423731075061</c:v>
                </c:pt>
                <c:pt idx="17">
                  <c:v>0.7393552272545767</c:v>
                </c:pt>
                <c:pt idx="18">
                  <c:v>0.74540491259098918</c:v>
                </c:pt>
                <c:pt idx="19">
                  <c:v>0.75118024345859546</c:v>
                </c:pt>
                <c:pt idx="20">
                  <c:v>0.75668598185569247</c:v>
                </c:pt>
                <c:pt idx="21">
                  <c:v>0.76192482378698634</c:v>
                </c:pt>
                <c:pt idx="22">
                  <c:v>0.76689767755587668</c:v>
                </c:pt>
                <c:pt idx="23">
                  <c:v>0.771604053998726</c:v>
                </c:pt>
                <c:pt idx="24">
                  <c:v>0.77604252485952407</c:v>
                </c:pt>
                <c:pt idx="25">
                  <c:v>0.78021120247470677</c:v>
                </c:pt>
                <c:pt idx="26">
                  <c:v>0.78410819244292995</c:v>
                </c:pt>
                <c:pt idx="27">
                  <c:v>0.78773196911086241</c:v>
                </c:pt>
                <c:pt idx="28">
                  <c:v>0.79108163159920708</c:v>
                </c:pt>
                <c:pt idx="29">
                  <c:v>0.79415701495274404</c:v>
                </c:pt>
                <c:pt idx="30">
                  <c:v>0.79695866018074246</c:v>
                </c:pt>
                <c:pt idx="31">
                  <c:v>0.79948767272024035</c:v>
                </c:pt>
                <c:pt idx="32">
                  <c:v>0.80174551801609095</c:v>
                </c:pt>
                <c:pt idx="33">
                  <c:v>0.80373380347157708</c:v>
                </c:pt>
                <c:pt idx="34">
                  <c:v>0.80545408749326075</c:v>
                </c:pt>
                <c:pt idx="35">
                  <c:v>0.80690774000826215</c:v>
                </c:pt>
                <c:pt idx="36">
                  <c:v>0.80809586441939263</c:v>
                </c:pt>
                <c:pt idx="37">
                  <c:v>0.80901927717453126</c:v>
                </c:pt>
                <c:pt idx="38">
                  <c:v>0.80967853174938476</c:v>
                </c:pt>
                <c:pt idx="39">
                  <c:v>0.81007396718116276</c:v>
                </c:pt>
                <c:pt idx="40">
                  <c:v>0.81020576085551399</c:v>
                </c:pt>
              </c:numCache>
            </c:numRef>
          </c:val>
          <c:extLst>
            <c:ext xmlns:c16="http://schemas.microsoft.com/office/drawing/2014/chart" uri="{C3380CC4-5D6E-409C-BE32-E72D297353CC}">
              <c16:uniqueId val="{0000000C-86DE-4052-8ACD-5AA112FE4966}"/>
            </c:ext>
          </c:extLst>
        </c:ser>
        <c:ser>
          <c:idx val="14"/>
          <c:order val="14"/>
          <c:tx>
            <c:strRef>
              <c:f>Data!$M$61</c:f>
              <c:strCache>
                <c:ptCount val="1"/>
                <c:pt idx="0">
                  <c:v>15</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Data!$N$61:$BB$61</c:f>
              <c:numCache>
                <c:formatCode>0.000</c:formatCode>
                <c:ptCount val="41"/>
                <c:pt idx="0">
                  <c:v>0.59473363717612149</c:v>
                </c:pt>
                <c:pt idx="1">
                  <c:v>0.59643052158047849</c:v>
                </c:pt>
                <c:pt idx="2">
                  <c:v>0.60122144507766251</c:v>
                </c:pt>
                <c:pt idx="3">
                  <c:v>0.60836441768638971</c:v>
                </c:pt>
                <c:pt idx="4">
                  <c:v>0.61700078865315511</c:v>
                </c:pt>
                <c:pt idx="5">
                  <c:v>0.62640494846806893</c:v>
                </c:pt>
                <c:pt idx="6">
                  <c:v>0.63606952113644954</c:v>
                </c:pt>
                <c:pt idx="7">
                  <c:v>0.64568168914552748</c:v>
                </c:pt>
                <c:pt idx="8">
                  <c:v>0.65506600333763576</c:v>
                </c:pt>
                <c:pt idx="9">
                  <c:v>0.66413293784080019</c:v>
                </c:pt>
                <c:pt idx="10">
                  <c:v>0.67284311410647279</c:v>
                </c:pt>
                <c:pt idx="11">
                  <c:v>0.68118513184304352</c:v>
                </c:pt>
                <c:pt idx="12">
                  <c:v>0.68916257758594945</c:v>
                </c:pt>
                <c:pt idx="13">
                  <c:v>0.69678657019164292</c:v>
                </c:pt>
                <c:pt idx="14">
                  <c:v>0.70407147352941468</c:v>
                </c:pt>
                <c:pt idx="15">
                  <c:v>0.71103238141964675</c:v>
                </c:pt>
                <c:pt idx="16">
                  <c:v>0.71768361083731214</c:v>
                </c:pt>
                <c:pt idx="17">
                  <c:v>0.72403779749800845</c:v>
                </c:pt>
                <c:pt idx="18">
                  <c:v>0.73010538812899251</c:v>
                </c:pt>
                <c:pt idx="19">
                  <c:v>0.73589441899038688</c:v>
                </c:pt>
                <c:pt idx="20">
                  <c:v>0.74141051890895004</c:v>
                </c:pt>
                <c:pt idx="21">
                  <c:v>0.74665708997972913</c:v>
                </c:pt>
                <c:pt idx="22">
                  <c:v>0.75163562698773922</c:v>
                </c:pt>
                <c:pt idx="23">
                  <c:v>0.75634613425226727</c:v>
                </c:pt>
                <c:pt idx="24">
                  <c:v>0.76078759959102438</c:v>
                </c:pt>
                <c:pt idx="25">
                  <c:v>0.76495848084851925</c:v>
                </c:pt>
                <c:pt idx="26">
                  <c:v>0.76885716009024574</c:v>
                </c:pt>
                <c:pt idx="27">
                  <c:v>0.77248231857405558</c:v>
                </c:pt>
                <c:pt idx="28">
                  <c:v>0.7758331944718283</c:v>
                </c:pt>
                <c:pt idx="29">
                  <c:v>0.77890970055210063</c:v>
                </c:pt>
                <c:pt idx="30">
                  <c:v>0.78171240637825201</c:v>
                </c:pt>
                <c:pt idx="31">
                  <c:v>0.78424241253635041</c:v>
                </c:pt>
                <c:pt idx="32">
                  <c:v>0.78650116256010705</c:v>
                </c:pt>
                <c:pt idx="33">
                  <c:v>0.7884902387038748</c:v>
                </c:pt>
                <c:pt idx="34">
                  <c:v>0.790211180803715</c:v>
                </c:pt>
                <c:pt idx="35">
                  <c:v>0.79166535188843823</c:v>
                </c:pt>
                <c:pt idx="36">
                  <c:v>0.79285386107496636</c:v>
                </c:pt>
                <c:pt idx="37">
                  <c:v>0.79377754045583282</c:v>
                </c:pt>
                <c:pt idx="38">
                  <c:v>0.79443696425361265</c:v>
                </c:pt>
                <c:pt idx="39">
                  <c:v>0.79483249159223579</c:v>
                </c:pt>
                <c:pt idx="40">
                  <c:v>0.79496431418908542</c:v>
                </c:pt>
              </c:numCache>
            </c:numRef>
          </c:val>
          <c:extLst>
            <c:ext xmlns:c16="http://schemas.microsoft.com/office/drawing/2014/chart" uri="{C3380CC4-5D6E-409C-BE32-E72D297353CC}">
              <c16:uniqueId val="{0000000D-86DE-4052-8ACD-5AA112FE4966}"/>
            </c:ext>
          </c:extLst>
        </c:ser>
        <c:ser>
          <c:idx val="15"/>
          <c:order val="15"/>
          <c:tx>
            <c:strRef>
              <c:f>Data!$M$62</c:f>
              <c:strCache>
                <c:ptCount val="1"/>
                <c:pt idx="0">
                  <c:v>16</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Data!$N$62:$BB$62</c:f>
              <c:numCache>
                <c:formatCode>0.000</c:formatCode>
                <c:ptCount val="41"/>
                <c:pt idx="0">
                  <c:v>0.57628292428382122</c:v>
                </c:pt>
                <c:pt idx="1">
                  <c:v>0.57810786769678191</c:v>
                </c:pt>
                <c:pt idx="2">
                  <c:v>0.58323744535210942</c:v>
                </c:pt>
                <c:pt idx="3">
                  <c:v>0.59082742920111564</c:v>
                </c:pt>
                <c:pt idx="4">
                  <c:v>0.59992271498641314</c:v>
                </c:pt>
                <c:pt idx="5">
                  <c:v>0.60974005286089772</c:v>
                </c:pt>
                <c:pt idx="6">
                  <c:v>0.61975068023742896</c:v>
                </c:pt>
                <c:pt idx="7">
                  <c:v>0.62964152273789431</c:v>
                </c:pt>
                <c:pt idx="8">
                  <c:v>0.63924566566961571</c:v>
                </c:pt>
                <c:pt idx="9">
                  <c:v>0.64848423288908574</c:v>
                </c:pt>
                <c:pt idx="10">
                  <c:v>0.65732779957746834</c:v>
                </c:pt>
                <c:pt idx="11">
                  <c:v>0.66577333736096633</c:v>
                </c:pt>
                <c:pt idx="12">
                  <c:v>0.67383114227271645</c:v>
                </c:pt>
                <c:pt idx="13">
                  <c:v>0.68151757864117168</c:v>
                </c:pt>
                <c:pt idx="14">
                  <c:v>0.6888510570188211</c:v>
                </c:pt>
                <c:pt idx="15">
                  <c:v>0.69584977046114571</c:v>
                </c:pt>
                <c:pt idx="16">
                  <c:v>0.70253040352031049</c:v>
                </c:pt>
                <c:pt idx="17">
                  <c:v>0.70890740312125511</c:v>
                </c:pt>
                <c:pt idx="18">
                  <c:v>0.71499261060429176</c:v>
                </c:pt>
                <c:pt idx="19">
                  <c:v>0.72079514817321511</c:v>
                </c:pt>
                <c:pt idx="20">
                  <c:v>0.72632150421921138</c:v>
                </c:pt>
                <c:pt idx="21">
                  <c:v>0.73157577406641239</c:v>
                </c:pt>
                <c:pt idx="22">
                  <c:v>0.73656002222968409</c:v>
                </c:pt>
                <c:pt idx="23">
                  <c:v>0.74127472742513711</c:v>
                </c:pt>
                <c:pt idx="24">
                  <c:v>0.74571927396780802</c:v>
                </c:pt>
                <c:pt idx="25">
                  <c:v>0.74989244688651269</c:v>
                </c:pt>
                <c:pt idx="26">
                  <c:v>0.75379288959600255</c:v>
                </c:pt>
                <c:pt idx="27">
                  <c:v>0.75741947987520497</c:v>
                </c:pt>
                <c:pt idx="28">
                  <c:v>0.76077159026667263</c:v>
                </c:pt>
                <c:pt idx="29">
                  <c:v>0.7638492120724657</c:v>
                </c:pt>
                <c:pt idx="30">
                  <c:v>0.76665294860981448</c:v>
                </c:pt>
                <c:pt idx="31">
                  <c:v>0.7691839032972555</c:v>
                </c:pt>
                <c:pt idx="32">
                  <c:v>0.77144350607461698</c:v>
                </c:pt>
                <c:pt idx="33">
                  <c:v>0.77343332136636844</c:v>
                </c:pt>
                <c:pt idx="34">
                  <c:v>0.77515487586252141</c:v>
                </c:pt>
                <c:pt idx="35">
                  <c:v>0.7766095287622804</c:v>
                </c:pt>
                <c:pt idx="36">
                  <c:v>0.77779839579342014</c:v>
                </c:pt>
                <c:pt idx="37">
                  <c:v>0.77872232385851869</c:v>
                </c:pt>
                <c:pt idx="38">
                  <c:v>0.77938190616391023</c:v>
                </c:pt>
                <c:pt idx="39">
                  <c:v>0.77977751994968703</c:v>
                </c:pt>
                <c:pt idx="40">
                  <c:v>0.77990936982844883</c:v>
                </c:pt>
              </c:numCache>
            </c:numRef>
          </c:val>
          <c:extLst>
            <c:ext xmlns:c16="http://schemas.microsoft.com/office/drawing/2014/chart" uri="{C3380CC4-5D6E-409C-BE32-E72D297353CC}">
              <c16:uniqueId val="{0000000E-86DE-4052-8ACD-5AA112FE4966}"/>
            </c:ext>
          </c:extLst>
        </c:ser>
        <c:ser>
          <c:idx val="16"/>
          <c:order val="16"/>
          <c:tx>
            <c:strRef>
              <c:f>Data!$M$63</c:f>
              <c:strCache>
                <c:ptCount val="1"/>
                <c:pt idx="0">
                  <c:v>17</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Data!$N$63:$BB$63</c:f>
              <c:numCache>
                <c:formatCode>0.000</c:formatCode>
                <c:ptCount val="41"/>
                <c:pt idx="0">
                  <c:v>0.55781751554437198</c:v>
                </c:pt>
                <c:pt idx="1">
                  <c:v>0.55978512881141373</c:v>
                </c:pt>
                <c:pt idx="2">
                  <c:v>0.56528869955322203</c:v>
                </c:pt>
                <c:pt idx="3">
                  <c:v>0.57336498567023919</c:v>
                </c:pt>
                <c:pt idx="4">
                  <c:v>0.58295083015444416</c:v>
                </c:pt>
                <c:pt idx="5">
                  <c:v>0.59320239601363256</c:v>
                </c:pt>
                <c:pt idx="6">
                  <c:v>0.60357141815940007</c:v>
                </c:pt>
                <c:pt idx="7">
                  <c:v>0.61374747850389888</c:v>
                </c:pt>
                <c:pt idx="8">
                  <c:v>0.62357453885226888</c:v>
                </c:pt>
                <c:pt idx="9">
                  <c:v>0.63298589833057373</c:v>
                </c:pt>
                <c:pt idx="10">
                  <c:v>0.64196298842735022</c:v>
                </c:pt>
                <c:pt idx="11">
                  <c:v>0.65051166166646934</c:v>
                </c:pt>
                <c:pt idx="12">
                  <c:v>0.65864920566505836</c:v>
                </c:pt>
                <c:pt idx="13">
                  <c:v>0.66639738656572489</c:v>
                </c:pt>
                <c:pt idx="14">
                  <c:v>0.67377874994836506</c:v>
                </c:pt>
                <c:pt idx="15">
                  <c:v>0.68081463864523439</c:v>
                </c:pt>
                <c:pt idx="16">
                  <c:v>0.6875241335578004</c:v>
                </c:pt>
                <c:pt idx="17">
                  <c:v>0.69392350734370123</c:v>
                </c:pt>
                <c:pt idx="18">
                  <c:v>0.70002600049471797</c:v>
                </c:pt>
                <c:pt idx="19">
                  <c:v>0.70584181768782928</c:v>
                </c:pt>
                <c:pt idx="20">
                  <c:v>0.71137829724898227</c:v>
                </c:pt>
                <c:pt idx="21">
                  <c:v>0.71664021315415238</c:v>
                </c:pt>
                <c:pt idx="22">
                  <c:v>0.72163018179420113</c:v>
                </c:pt>
                <c:pt idx="23">
                  <c:v>0.7263491365002156</c:v>
                </c:pt>
                <c:pt idx="24">
                  <c:v>0.73079683817834284</c:v>
                </c:pt>
                <c:pt idx="25">
                  <c:v>0.73497238058148673</c:v>
                </c:pt>
                <c:pt idx="26">
                  <c:v>0.73887465334352531</c:v>
                </c:pt>
                <c:pt idx="27">
                  <c:v>0.74250272026325448</c:v>
                </c:pt>
                <c:pt idx="28">
                  <c:v>0.74585608333434394</c:v>
                </c:pt>
                <c:pt idx="29">
                  <c:v>0.7489348127408908</c:v>
                </c:pt>
                <c:pt idx="30">
                  <c:v>0.7517395502059494</c:v>
                </c:pt>
                <c:pt idx="31">
                  <c:v>0.75427140906707546</c:v>
                </c:pt>
                <c:pt idx="32">
                  <c:v>0.75653181349779119</c:v>
                </c:pt>
                <c:pt idx="33">
                  <c:v>0.75852231705614714</c:v>
                </c:pt>
                <c:pt idx="34">
                  <c:v>0.76024443852841006</c:v>
                </c:pt>
                <c:pt idx="35">
                  <c:v>0.76169953630473486</c:v>
                </c:pt>
                <c:pt idx="36">
                  <c:v>0.76288873371822163</c:v>
                </c:pt>
                <c:pt idx="37">
                  <c:v>0.76381289180741319</c:v>
                </c:pt>
                <c:pt idx="38">
                  <c:v>0.7644726212092009</c:v>
                </c:pt>
                <c:pt idx="39">
                  <c:v>0.76486831547836531</c:v>
                </c:pt>
                <c:pt idx="40">
                  <c:v>0.76500019082327408</c:v>
                </c:pt>
              </c:numCache>
            </c:numRef>
          </c:val>
          <c:extLst>
            <c:ext xmlns:c16="http://schemas.microsoft.com/office/drawing/2014/chart" uri="{C3380CC4-5D6E-409C-BE32-E72D297353CC}">
              <c16:uniqueId val="{0000000F-86DE-4052-8ACD-5AA112FE4966}"/>
            </c:ext>
          </c:extLst>
        </c:ser>
        <c:ser>
          <c:idx val="17"/>
          <c:order val="17"/>
          <c:tx>
            <c:strRef>
              <c:f>Data!$M$64</c:f>
              <c:strCache>
                <c:ptCount val="1"/>
                <c:pt idx="0">
                  <c:v>18</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Data!$N$64:$BB$64</c:f>
              <c:numCache>
                <c:formatCode>0.000</c:formatCode>
                <c:ptCount val="41"/>
                <c:pt idx="0">
                  <c:v>0.53936161911324199</c:v>
                </c:pt>
                <c:pt idx="1">
                  <c:v>0.54148886045977651</c:v>
                </c:pt>
                <c:pt idx="2">
                  <c:v>0.54740683393986322</c:v>
                </c:pt>
                <c:pt idx="3">
                  <c:v>0.55601316292359138</c:v>
                </c:pt>
                <c:pt idx="4">
                  <c:v>0.56612359751581642</c:v>
                </c:pt>
                <c:pt idx="5">
                  <c:v>0.57683115127071083</c:v>
                </c:pt>
                <c:pt idx="6">
                  <c:v>0.58757075588576557</c:v>
                </c:pt>
                <c:pt idx="7">
                  <c:v>0.59803812130691469</c:v>
                </c:pt>
                <c:pt idx="8">
                  <c:v>0.60809069361183843</c:v>
                </c:pt>
                <c:pt idx="9">
                  <c:v>0.61767556935095247</c:v>
                </c:pt>
                <c:pt idx="10">
                  <c:v>0.62678596136185971</c:v>
                </c:pt>
                <c:pt idx="11">
                  <c:v>0.63543710697186095</c:v>
                </c:pt>
                <c:pt idx="12">
                  <c:v>0.64365355500751009</c:v>
                </c:pt>
                <c:pt idx="13">
                  <c:v>0.65146261665696614</c:v>
                </c:pt>
                <c:pt idx="14">
                  <c:v>0.65889104965117218</c:v>
                </c:pt>
                <c:pt idx="15">
                  <c:v>0.66596338786024523</c:v>
                </c:pt>
                <c:pt idx="16">
                  <c:v>0.67270113007156251</c:v>
                </c:pt>
                <c:pt idx="17">
                  <c:v>0.67912238344321618</c:v>
                </c:pt>
                <c:pt idx="18">
                  <c:v>0.6852417878098217</c:v>
                </c:pt>
                <c:pt idx="19">
                  <c:v>0.69107062348725878</c:v>
                </c:pt>
                <c:pt idx="20">
                  <c:v>0.69661706669432499</c:v>
                </c:pt>
                <c:pt idx="21">
                  <c:v>0.70188655369682218</c:v>
                </c:pt>
                <c:pt idx="22">
                  <c:v>0.70688223376068893</c:v>
                </c:pt>
                <c:pt idx="23">
                  <c:v>0.71160547427259269</c:v>
                </c:pt>
                <c:pt idx="24">
                  <c:v>0.71605639244719854</c:v>
                </c:pt>
                <c:pt idx="25">
                  <c:v>0.72023437208594077</c:v>
                </c:pt>
                <c:pt idx="26">
                  <c:v>0.72413853384157123</c:v>
                </c:pt>
                <c:pt idx="27">
                  <c:v>0.72776811688361853</c:v>
                </c:pt>
                <c:pt idx="28">
                  <c:v>0.73112274751316553</c:v>
                </c:pt>
                <c:pt idx="29">
                  <c:v>0.73420257472863115</c:v>
                </c:pt>
                <c:pt idx="30">
                  <c:v>0.73700828283158371</c:v>
                </c:pt>
                <c:pt idx="31">
                  <c:v>0.73954100163300363</c:v>
                </c:pt>
                <c:pt idx="32">
                  <c:v>0.74180215695821716</c:v>
                </c:pt>
                <c:pt idx="33">
                  <c:v>0.74379329811969619</c:v>
                </c:pt>
                <c:pt idx="34">
                  <c:v>0.74551594108983221</c:v>
                </c:pt>
                <c:pt idx="35">
                  <c:v>0.74697144641076596</c:v>
                </c:pt>
                <c:pt idx="36">
                  <c:v>0.74816094610349815</c:v>
                </c:pt>
                <c:pt idx="37">
                  <c:v>0.74908531479143947</c:v>
                </c:pt>
                <c:pt idx="38">
                  <c:v>0.74974517917912653</c:v>
                </c:pt>
                <c:pt idx="39">
                  <c:v>0.75014094747346738</c:v>
                </c:pt>
                <c:pt idx="40">
                  <c:v>0.75027284629573032</c:v>
                </c:pt>
              </c:numCache>
            </c:numRef>
          </c:val>
          <c:extLst>
            <c:ext xmlns:c16="http://schemas.microsoft.com/office/drawing/2014/chart" uri="{C3380CC4-5D6E-409C-BE32-E72D297353CC}">
              <c16:uniqueId val="{00000010-86DE-4052-8ACD-5AA112FE4966}"/>
            </c:ext>
          </c:extLst>
        </c:ser>
        <c:ser>
          <c:idx val="18"/>
          <c:order val="18"/>
          <c:tx>
            <c:strRef>
              <c:f>Data!$M$65</c:f>
              <c:strCache>
                <c:ptCount val="1"/>
                <c:pt idx="0">
                  <c:v>19</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Data!$N$65:$BB$65</c:f>
              <c:numCache>
                <c:formatCode>0.000</c:formatCode>
                <c:ptCount val="41"/>
                <c:pt idx="0">
                  <c:v>0.52086942017118543</c:v>
                </c:pt>
                <c:pt idx="1">
                  <c:v>0.52317606658983995</c:v>
                </c:pt>
                <c:pt idx="2">
                  <c:v>0.52955479805898786</c:v>
                </c:pt>
                <c:pt idx="3">
                  <c:v>0.53873988937227602</c:v>
                </c:pt>
                <c:pt idx="4">
                  <c:v>0.54941141310180874</c:v>
                </c:pt>
                <c:pt idx="5">
                  <c:v>0.56059730135744412</c:v>
                </c:pt>
                <c:pt idx="6">
                  <c:v>0.57171938078892004</c:v>
                </c:pt>
                <c:pt idx="7">
                  <c:v>0.58248357880807966</c:v>
                </c:pt>
                <c:pt idx="8">
                  <c:v>0.59276370042400917</c:v>
                </c:pt>
                <c:pt idx="9">
                  <c:v>0.60252234552216077</c:v>
                </c:pt>
                <c:pt idx="10">
                  <c:v>0.61176544464622429</c:v>
                </c:pt>
                <c:pt idx="11">
                  <c:v>0.62051811129730994</c:v>
                </c:pt>
                <c:pt idx="12">
                  <c:v>0.62881240850533859</c:v>
                </c:pt>
                <c:pt idx="13">
                  <c:v>0.63668132024114998</c:v>
                </c:pt>
                <c:pt idx="14">
                  <c:v>0.64415588115432032</c:v>
                </c:pt>
                <c:pt idx="15">
                  <c:v>0.65126384748700694</c:v>
                </c:pt>
                <c:pt idx="16">
                  <c:v>0.65802914997004125</c:v>
                </c:pt>
                <c:pt idx="17">
                  <c:v>0.6644717330827592</c:v>
                </c:pt>
                <c:pt idx="18">
                  <c:v>0.67060763181988114</c:v>
                </c:pt>
                <c:pt idx="19">
                  <c:v>0.67644919184058572</c:v>
                </c:pt>
                <c:pt idx="20">
                  <c:v>0.68200541278576998</c:v>
                </c:pt>
                <c:pt idx="21">
                  <c:v>0.68728237498277489</c:v>
                </c:pt>
                <c:pt idx="22">
                  <c:v>0.69228374038842055</c:v>
                </c:pt>
                <c:pt idx="23">
                  <c:v>0.69701128902185494</c:v>
                </c:pt>
                <c:pt idx="24">
                  <c:v>0.70146547370651724</c:v>
                </c:pt>
                <c:pt idx="25">
                  <c:v>0.70564594930221047</c:v>
                </c:pt>
                <c:pt idx="26">
                  <c:v>0.70955205218831219</c:v>
                </c:pt>
                <c:pt idx="27">
                  <c:v>0.71318318605326281</c:v>
                </c:pt>
                <c:pt idx="28">
                  <c:v>0.71653909616388223</c:v>
                </c:pt>
                <c:pt idx="29">
                  <c:v>0.71962000986807251</c:v>
                </c:pt>
                <c:pt idx="30">
                  <c:v>0.72242665783275106</c:v>
                </c:pt>
                <c:pt idx="31">
                  <c:v>0.7249601924208775</c:v>
                </c:pt>
                <c:pt idx="32">
                  <c:v>0.72722204818312197</c:v>
                </c:pt>
                <c:pt idx="33">
                  <c:v>0.72921377649742825</c:v>
                </c:pt>
                <c:pt idx="34">
                  <c:v>0.73093689549222018</c:v>
                </c:pt>
                <c:pt idx="35">
                  <c:v>0.73239277073978304</c:v>
                </c:pt>
                <c:pt idx="36">
                  <c:v>0.73358254411897739</c:v>
                </c:pt>
                <c:pt idx="37">
                  <c:v>0.73450710336760916</c:v>
                </c:pt>
                <c:pt idx="38">
                  <c:v>0.73516709007207259</c:v>
                </c:pt>
                <c:pt idx="39">
                  <c:v>0.73556292552416702</c:v>
                </c:pt>
                <c:pt idx="40">
                  <c:v>0.73569484570242905</c:v>
                </c:pt>
              </c:numCache>
            </c:numRef>
          </c:val>
          <c:extLst>
            <c:ext xmlns:c16="http://schemas.microsoft.com/office/drawing/2014/chart" uri="{C3380CC4-5D6E-409C-BE32-E72D297353CC}">
              <c16:uniqueId val="{00000011-86DE-4052-8ACD-5AA112FE4966}"/>
            </c:ext>
          </c:extLst>
        </c:ser>
        <c:ser>
          <c:idx val="19"/>
          <c:order val="19"/>
          <c:tx>
            <c:strRef>
              <c:f>Data!$M$66</c:f>
              <c:strCache>
                <c:ptCount val="1"/>
                <c:pt idx="0">
                  <c:v>20</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Data!$N$66:$BB$66</c:f>
              <c:numCache>
                <c:formatCode>0.000</c:formatCode>
                <c:ptCount val="41"/>
                <c:pt idx="0">
                  <c:v>0.50235518611431806</c:v>
                </c:pt>
                <c:pt idx="1">
                  <c:v>0.50486442052923597</c:v>
                </c:pt>
                <c:pt idx="2">
                  <c:v>0.51175726632890106</c:v>
                </c:pt>
                <c:pt idx="3">
                  <c:v>0.52157540483486298</c:v>
                </c:pt>
                <c:pt idx="4">
                  <c:v>0.53284703105114761</c:v>
                </c:pt>
                <c:pt idx="5">
                  <c:v>0.54453402064232315</c:v>
                </c:pt>
                <c:pt idx="6">
                  <c:v>0.55605000348700251</c:v>
                </c:pt>
                <c:pt idx="7">
                  <c:v>0.56711588704245008</c:v>
                </c:pt>
                <c:pt idx="8">
                  <c:v>0.57762497082317454</c:v>
                </c:pt>
                <c:pt idx="9">
                  <c:v>0.58755713048371949</c:v>
                </c:pt>
                <c:pt idx="10">
                  <c:v>0.59693194901498547</c:v>
                </c:pt>
                <c:pt idx="11">
                  <c:v>0.60578488672252295</c:v>
                </c:pt>
                <c:pt idx="12">
                  <c:v>0.61415575289522484</c:v>
                </c:pt>
                <c:pt idx="13">
                  <c:v>0.62208331404418715</c:v>
                </c:pt>
                <c:pt idx="14">
                  <c:v>0.6296029330876276</c:v>
                </c:pt>
                <c:pt idx="15">
                  <c:v>0.6367456093642283</c:v>
                </c:pt>
                <c:pt idx="16">
                  <c:v>0.64353771195188325</c:v>
                </c:pt>
                <c:pt idx="17">
                  <c:v>0.65000101932261944</c:v>
                </c:pt>
                <c:pt idx="18">
                  <c:v>0.65615295307781896</c:v>
                </c:pt>
                <c:pt idx="19">
                  <c:v>0.66200691034783887</c:v>
                </c:pt>
                <c:pt idx="20">
                  <c:v>0.66757269732410307</c:v>
                </c:pt>
                <c:pt idx="21">
                  <c:v>0.67285701818343113</c:v>
                </c:pt>
                <c:pt idx="22">
                  <c:v>0.67786402622362119</c:v>
                </c:pt>
                <c:pt idx="23">
                  <c:v>0.68259589169814205</c:v>
                </c:pt>
                <c:pt idx="24">
                  <c:v>0.68705338190781551</c:v>
                </c:pt>
                <c:pt idx="25">
                  <c:v>0.69123640337236214</c:v>
                </c:pt>
                <c:pt idx="26">
                  <c:v>0.69514449279607604</c:v>
                </c:pt>
                <c:pt idx="27">
                  <c:v>0.69877720726746873</c:v>
                </c:pt>
                <c:pt idx="28">
                  <c:v>0.70213440553302631</c:v>
                </c:pt>
                <c:pt idx="29">
                  <c:v>0.70521639243232093</c:v>
                </c:pt>
                <c:pt idx="30">
                  <c:v>0.70802394849505046</c:v>
                </c:pt>
                <c:pt idx="31">
                  <c:v>0.7105582542676947</c:v>
                </c:pt>
                <c:pt idx="32">
                  <c:v>0.71282075985619608</c:v>
                </c:pt>
                <c:pt idx="33">
                  <c:v>0.7148130246982134</c:v>
                </c:pt>
                <c:pt idx="34">
                  <c:v>0.71653657397865356</c:v>
                </c:pt>
                <c:pt idx="35">
                  <c:v>0.71799278106178011</c:v>
                </c:pt>
                <c:pt idx="36">
                  <c:v>0.71918279895958537</c:v>
                </c:pt>
                <c:pt idx="37">
                  <c:v>0.72010752807531009</c:v>
                </c:pt>
                <c:pt idx="38">
                  <c:v>0.72076762387397442</c:v>
                </c:pt>
                <c:pt idx="39">
                  <c:v>0.72116351920985111</c:v>
                </c:pt>
                <c:pt idx="40">
                  <c:v>0.72129545849839027</c:v>
                </c:pt>
              </c:numCache>
            </c:numRef>
          </c:val>
          <c:extLst>
            <c:ext xmlns:c16="http://schemas.microsoft.com/office/drawing/2014/chart" uri="{C3380CC4-5D6E-409C-BE32-E72D297353CC}">
              <c16:uniqueId val="{00000012-86DE-4052-8ACD-5AA112FE4966}"/>
            </c:ext>
          </c:extLst>
        </c:ser>
        <c:ser>
          <c:idx val="20"/>
          <c:order val="20"/>
          <c:tx>
            <c:strRef>
              <c:f>Data!$M$67</c:f>
              <c:strCache>
                <c:ptCount val="1"/>
                <c:pt idx="0">
                  <c:v>21</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Data!$N$67:$BB$67</c:f>
              <c:numCache>
                <c:formatCode>0.000</c:formatCode>
                <c:ptCount val="41"/>
                <c:pt idx="0">
                  <c:v>0.48377508507946848</c:v>
                </c:pt>
                <c:pt idx="1">
                  <c:v>0.48651423716914732</c:v>
                </c:pt>
                <c:pt idx="2">
                  <c:v>0.49398283397747367</c:v>
                </c:pt>
                <c:pt idx="3">
                  <c:v>0.50449451489889541</c:v>
                </c:pt>
                <c:pt idx="4">
                  <c:v>0.51640777121498382</c:v>
                </c:pt>
                <c:pt idx="5">
                  <c:v>0.52861883309726598</c:v>
                </c:pt>
                <c:pt idx="6">
                  <c:v>0.54053949072994856</c:v>
                </c:pt>
                <c:pt idx="7">
                  <c:v>0.55191111475186505</c:v>
                </c:pt>
                <c:pt idx="8">
                  <c:v>0.56264988067357358</c:v>
                </c:pt>
                <c:pt idx="9">
                  <c:v>0.57275475659624575</c:v>
                </c:pt>
                <c:pt idx="10">
                  <c:v>0.58225989643436959</c:v>
                </c:pt>
                <c:pt idx="11">
                  <c:v>0.59121154818605715</c:v>
                </c:pt>
                <c:pt idx="12">
                  <c:v>0.59965747416001935</c:v>
                </c:pt>
                <c:pt idx="13">
                  <c:v>0.60764231259897572</c:v>
                </c:pt>
                <c:pt idx="14">
                  <c:v>0.61520579165939882</c:v>
                </c:pt>
                <c:pt idx="15">
                  <c:v>0.62238216317351203</c:v>
                </c:pt>
                <c:pt idx="16">
                  <c:v>0.62920023322953378</c:v>
                </c:pt>
                <c:pt idx="17">
                  <c:v>0.63568360456242801</c:v>
                </c:pt>
                <c:pt idx="18">
                  <c:v>0.64185107253117346</c:v>
                </c:pt>
                <c:pt idx="19">
                  <c:v>0.6477170681403791</c:v>
                </c:pt>
                <c:pt idx="20">
                  <c:v>0.65329218491686736</c:v>
                </c:pt>
                <c:pt idx="21">
                  <c:v>0.65858372856601921</c:v>
                </c:pt>
                <c:pt idx="22">
                  <c:v>0.66359632123978618</c:v>
                </c:pt>
                <c:pt idx="23">
                  <c:v>0.6683324999203798</c:v>
                </c:pt>
                <c:pt idx="24">
                  <c:v>0.67279332484238019</c:v>
                </c:pt>
                <c:pt idx="25">
                  <c:v>0.67697893424345801</c:v>
                </c:pt>
                <c:pt idx="26">
                  <c:v>0.68088904967126007</c:v>
                </c:pt>
                <c:pt idx="27">
                  <c:v>0.68452337013830644</c:v>
                </c:pt>
                <c:pt idx="28">
                  <c:v>0.68788186230538739</c:v>
                </c:pt>
                <c:pt idx="29">
                  <c:v>0.69096490723774462</c:v>
                </c:pt>
                <c:pt idx="30">
                  <c:v>0.69377333865702406</c:v>
                </c:pt>
                <c:pt idx="31">
                  <c:v>0.69630837049306837</c:v>
                </c:pt>
                <c:pt idx="32">
                  <c:v>0.69857147509103801</c:v>
                </c:pt>
                <c:pt idx="33">
                  <c:v>0.70056422562599907</c:v>
                </c:pt>
                <c:pt idx="34">
                  <c:v>0.70228815922754984</c:v>
                </c:pt>
                <c:pt idx="35">
                  <c:v>0.70374465965180211</c:v>
                </c:pt>
                <c:pt idx="36">
                  <c:v>0.70493489244879459</c:v>
                </c:pt>
                <c:pt idx="37">
                  <c:v>0.70585977019921164</c:v>
                </c:pt>
                <c:pt idx="38">
                  <c:v>0.70651996144266904</c:v>
                </c:pt>
                <c:pt idx="39">
                  <c:v>0.70691590904860213</c:v>
                </c:pt>
                <c:pt idx="40">
                  <c:v>0.70704786511825612</c:v>
                </c:pt>
              </c:numCache>
            </c:numRef>
          </c:val>
          <c:extLst>
            <c:ext xmlns:c16="http://schemas.microsoft.com/office/drawing/2014/chart" uri="{C3380CC4-5D6E-409C-BE32-E72D297353CC}">
              <c16:uniqueId val="{00000013-86DE-4052-8ACD-5AA112FE4966}"/>
            </c:ext>
          </c:extLst>
        </c:ser>
        <c:ser>
          <c:idx val="21"/>
          <c:order val="21"/>
          <c:tx>
            <c:strRef>
              <c:f>Data!$M$68</c:f>
              <c:strCache>
                <c:ptCount val="1"/>
                <c:pt idx="0">
                  <c:v>22</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Data!$N$68:$BB$68</c:f>
              <c:numCache>
                <c:formatCode>0.000</c:formatCode>
                <c:ptCount val="41"/>
                <c:pt idx="0">
                  <c:v>0.46513425290061339</c:v>
                </c:pt>
                <c:pt idx="1">
                  <c:v>0.46813573683965842</c:v>
                </c:pt>
                <c:pt idx="2">
                  <c:v>0.47625155623173665</c:v>
                </c:pt>
                <c:pt idx="3">
                  <c:v>0.48752418359736832</c:v>
                </c:pt>
                <c:pt idx="4">
                  <c:v>0.50012304434774635</c:v>
                </c:pt>
                <c:pt idx="5">
                  <c:v>0.51288107687426443</c:v>
                </c:pt>
                <c:pt idx="6">
                  <c:v>0.52521630158071153</c:v>
                </c:pt>
                <c:pt idx="7">
                  <c:v>0.53689678962942622</c:v>
                </c:pt>
                <c:pt idx="8">
                  <c:v>0.54786519406232659</c:v>
                </c:pt>
                <c:pt idx="9">
                  <c:v>0.55814140850835847</c:v>
                </c:pt>
                <c:pt idx="10">
                  <c:v>0.56777504382936461</c:v>
                </c:pt>
                <c:pt idx="11">
                  <c:v>0.57682353710073231</c:v>
                </c:pt>
                <c:pt idx="12">
                  <c:v>0.58534278090889247</c:v>
                </c:pt>
                <c:pt idx="13">
                  <c:v>0.59338335110646956</c:v>
                </c:pt>
                <c:pt idx="14">
                  <c:v>0.60098936294683036</c:v>
                </c:pt>
                <c:pt idx="15">
                  <c:v>0.60819831800496982</c:v>
                </c:pt>
                <c:pt idx="16">
                  <c:v>0.61504145037528624</c:v>
                </c:pt>
                <c:pt idx="17">
                  <c:v>0.62154417058276779</c:v>
                </c:pt>
                <c:pt idx="18">
                  <c:v>0.62772663079394508</c:v>
                </c:pt>
                <c:pt idx="19">
                  <c:v>0.6336042743232585</c:v>
                </c:pt>
                <c:pt idx="20">
                  <c:v>0.63918846064645252</c:v>
                </c:pt>
                <c:pt idx="21">
                  <c:v>0.64448707234810731</c:v>
                </c:pt>
                <c:pt idx="22">
                  <c:v>0.64950517693781595</c:v>
                </c:pt>
                <c:pt idx="23">
                  <c:v>0.65424565331315865</c:v>
                </c:pt>
                <c:pt idx="24">
                  <c:v>0.65870983277912121</c:v>
                </c:pt>
                <c:pt idx="25">
                  <c:v>0.66289806462067447</c:v>
                </c:pt>
                <c:pt idx="26">
                  <c:v>0.66681023974981535</c:v>
                </c:pt>
                <c:pt idx="27">
                  <c:v>0.6704461871296451</c:v>
                </c:pt>
                <c:pt idx="28">
                  <c:v>0.67380597581968404</c:v>
                </c:pt>
                <c:pt idx="29">
                  <c:v>0.67689006136494456</c:v>
                </c:pt>
                <c:pt idx="30">
                  <c:v>0.67969933400885429</c:v>
                </c:pt>
                <c:pt idx="31">
                  <c:v>0.68223504578594618</c:v>
                </c:pt>
                <c:pt idx="32">
                  <c:v>0.68449869798657059</c:v>
                </c:pt>
                <c:pt idx="33">
                  <c:v>0.68649188280494688</c:v>
                </c:pt>
                <c:pt idx="34">
                  <c:v>0.68821615431487893</c:v>
                </c:pt>
                <c:pt idx="35">
                  <c:v>0.68967290899989175</c:v>
                </c:pt>
                <c:pt idx="36">
                  <c:v>0.69086332656970451</c:v>
                </c:pt>
                <c:pt idx="37">
                  <c:v>0.69178833113161997</c:v>
                </c:pt>
                <c:pt idx="38">
                  <c:v>0.69244860376611705</c:v>
                </c:pt>
                <c:pt idx="39">
                  <c:v>0.69284459567597378</c:v>
                </c:pt>
                <c:pt idx="40">
                  <c:v>0.69297656614010927</c:v>
                </c:pt>
              </c:numCache>
            </c:numRef>
          </c:val>
          <c:extLst>
            <c:ext xmlns:c16="http://schemas.microsoft.com/office/drawing/2014/chart" uri="{C3380CC4-5D6E-409C-BE32-E72D297353CC}">
              <c16:uniqueId val="{0000001E-C793-41C2-B036-5A15B329E20B}"/>
            </c:ext>
          </c:extLst>
        </c:ser>
        <c:ser>
          <c:idx val="22"/>
          <c:order val="22"/>
          <c:tx>
            <c:strRef>
              <c:f>Data!$M$69</c:f>
              <c:strCache>
                <c:ptCount val="1"/>
                <c:pt idx="0">
                  <c:v>23</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Data!$N$69:$BB$69</c:f>
              <c:numCache>
                <c:formatCode>0.000</c:formatCode>
                <c:ptCount val="41"/>
                <c:pt idx="0">
                  <c:v>0.44638771511692393</c:v>
                </c:pt>
                <c:pt idx="1">
                  <c:v>0.4496902312413697</c:v>
                </c:pt>
                <c:pt idx="2">
                  <c:v>0.45853647656183294</c:v>
                </c:pt>
                <c:pt idx="3">
                  <c:v>0.47064510622797756</c:v>
                </c:pt>
                <c:pt idx="4">
                  <c:v>0.48397583406539452</c:v>
                </c:pt>
                <c:pt idx="5">
                  <c:v>0.49730331726266352</c:v>
                </c:pt>
                <c:pt idx="6">
                  <c:v>0.51006187308448259</c:v>
                </c:pt>
                <c:pt idx="7">
                  <c:v>0.52205327716345062</c:v>
                </c:pt>
                <c:pt idx="8">
                  <c:v>0.53325044299531099</c:v>
                </c:pt>
                <c:pt idx="9">
                  <c:v>0.54369600521388395</c:v>
                </c:pt>
                <c:pt idx="10">
                  <c:v>0.55345586781819134</c:v>
                </c:pt>
                <c:pt idx="11">
                  <c:v>0.5625990082255935</c:v>
                </c:pt>
                <c:pt idx="12">
                  <c:v>0.57118959320612717</c:v>
                </c:pt>
                <c:pt idx="13">
                  <c:v>0.57928417580266389</c:v>
                </c:pt>
                <c:pt idx="14">
                  <c:v>0.58693126473111801</c:v>
                </c:pt>
                <c:pt idx="15">
                  <c:v>0.59417159539968178</c:v>
                </c:pt>
                <c:pt idx="16">
                  <c:v>0.60103881356284627</c:v>
                </c:pt>
                <c:pt idx="17">
                  <c:v>0.60756011381173891</c:v>
                </c:pt>
                <c:pt idx="18">
                  <c:v>0.61375698444190374</c:v>
                </c:pt>
                <c:pt idx="19">
                  <c:v>0.61964585517454263</c:v>
                </c:pt>
                <c:pt idx="20">
                  <c:v>0.62523882817962984</c:v>
                </c:pt>
                <c:pt idx="21">
                  <c:v>0.63054433560568701</c:v>
                </c:pt>
                <c:pt idx="22">
                  <c:v>0.63556786606453419</c:v>
                </c:pt>
                <c:pt idx="23">
                  <c:v>0.64031261392950045</c:v>
                </c:pt>
                <c:pt idx="24">
                  <c:v>0.64478015959937429</c:v>
                </c:pt>
                <c:pt idx="25">
                  <c:v>0.6489710417135921</c:v>
                </c:pt>
                <c:pt idx="26">
                  <c:v>0.65288530526229727</c:v>
                </c:pt>
                <c:pt idx="27">
                  <c:v>0.65652289645224771</c:v>
                </c:pt>
                <c:pt idx="28">
                  <c:v>0.65988398149426597</c:v>
                </c:pt>
                <c:pt idx="29">
                  <c:v>0.66296908802957499</c:v>
                </c:pt>
                <c:pt idx="30">
                  <c:v>0.66577916640010715</c:v>
                </c:pt>
                <c:pt idx="31">
                  <c:v>0.66831551088135688</c:v>
                </c:pt>
                <c:pt idx="32">
                  <c:v>0.67057965865004687</c:v>
                </c:pt>
                <c:pt idx="33">
                  <c:v>0.6725732256862087</c:v>
                </c:pt>
                <c:pt idx="34">
                  <c:v>0.6742977882916471</c:v>
                </c:pt>
                <c:pt idx="35">
                  <c:v>0.67575475759299986</c:v>
                </c:pt>
                <c:pt idx="36">
                  <c:v>0.67694532943391184</c:v>
                </c:pt>
                <c:pt idx="37">
                  <c:v>0.67787043846361461</c:v>
                </c:pt>
                <c:pt idx="38">
                  <c:v>0.67853077816899288</c:v>
                </c:pt>
                <c:pt idx="39">
                  <c:v>0.67892680609373768</c:v>
                </c:pt>
                <c:pt idx="40">
                  <c:v>0.67905878857273871</c:v>
                </c:pt>
              </c:numCache>
            </c:numRef>
          </c:val>
          <c:extLst>
            <c:ext xmlns:c16="http://schemas.microsoft.com/office/drawing/2014/chart" uri="{C3380CC4-5D6E-409C-BE32-E72D297353CC}">
              <c16:uniqueId val="{0000001F-C793-41C2-B036-5A15B329E20B}"/>
            </c:ext>
          </c:extLst>
        </c:ser>
        <c:ser>
          <c:idx val="23"/>
          <c:order val="23"/>
          <c:tx>
            <c:strRef>
              <c:f>Data!$M$70</c:f>
              <c:strCache>
                <c:ptCount val="1"/>
                <c:pt idx="0">
                  <c:v>24</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Data!$N$70:$BB$70</c:f>
              <c:numCache>
                <c:formatCode>0.000</c:formatCode>
                <c:ptCount val="41"/>
                <c:pt idx="0">
                  <c:v>0.42753093389415436</c:v>
                </c:pt>
                <c:pt idx="1">
                  <c:v>0.43118101747011356</c:v>
                </c:pt>
                <c:pt idx="2">
                  <c:v>0.44085494456426261</c:v>
                </c:pt>
                <c:pt idx="3">
                  <c:v>0.45388305154489711</c:v>
                </c:pt>
                <c:pt idx="4">
                  <c:v>0.46799391595162992</c:v>
                </c:pt>
                <c:pt idx="5">
                  <c:v>0.48191248502078837</c:v>
                </c:pt>
                <c:pt idx="6">
                  <c:v>0.49510173000456403</c:v>
                </c:pt>
                <c:pt idx="7">
                  <c:v>0.50740488338104184</c:v>
                </c:pt>
                <c:pt idx="8">
                  <c:v>0.51882903055009777</c:v>
                </c:pt>
                <c:pt idx="9">
                  <c:v>0.52944130426395886</c:v>
                </c:pt>
                <c:pt idx="10">
                  <c:v>0.53932467011316554</c:v>
                </c:pt>
                <c:pt idx="11">
                  <c:v>0.54855993537497383</c:v>
                </c:pt>
                <c:pt idx="12">
                  <c:v>0.55721964847513217</c:v>
                </c:pt>
                <c:pt idx="13">
                  <c:v>0.56536634951168785</c:v>
                </c:pt>
                <c:pt idx="14">
                  <c:v>0.57305293173999128</c:v>
                </c:pt>
                <c:pt idx="15">
                  <c:v>0.58032333397162639</c:v>
                </c:pt>
                <c:pt idx="16">
                  <c:v>0.58721359068144796</c:v>
                </c:pt>
                <c:pt idx="17">
                  <c:v>0.59375264872852429</c:v>
                </c:pt>
                <c:pt idx="18">
                  <c:v>0.59996330884359483</c:v>
                </c:pt>
                <c:pt idx="19">
                  <c:v>0.60586295624389519</c:v>
                </c:pt>
                <c:pt idx="20">
                  <c:v>0.61146441125910644</c:v>
                </c:pt>
                <c:pt idx="21">
                  <c:v>0.61677662505371722</c:v>
                </c:pt>
                <c:pt idx="22">
                  <c:v>0.62180548279408754</c:v>
                </c:pt>
                <c:pt idx="23">
                  <c:v>0.62655446576458207</c:v>
                </c:pt>
                <c:pt idx="24">
                  <c:v>0.63102538174984668</c:v>
                </c:pt>
                <c:pt idx="25">
                  <c:v>0.63521893558538844</c:v>
                </c:pt>
                <c:pt idx="26">
                  <c:v>0.63913531158799908</c:v>
                </c:pt>
                <c:pt idx="27">
                  <c:v>0.6427745593893458</c:v>
                </c:pt>
                <c:pt idx="28">
                  <c:v>0.64613693773190084</c:v>
                </c:pt>
                <c:pt idx="29">
                  <c:v>0.64922304304078271</c:v>
                </c:pt>
                <c:pt idx="30">
                  <c:v>0.65203388996210487</c:v>
                </c:pt>
                <c:pt idx="31">
                  <c:v>0.65457081830594288</c:v>
                </c:pt>
                <c:pt idx="32">
                  <c:v>0.65683540868012191</c:v>
                </c:pt>
                <c:pt idx="33">
                  <c:v>0.65882930483268154</c:v>
                </c:pt>
                <c:pt idx="34">
                  <c:v>0.66055411116837448</c:v>
                </c:pt>
                <c:pt idx="35">
                  <c:v>0.66201125466507094</c:v>
                </c:pt>
                <c:pt idx="36">
                  <c:v>0.66320194989708747</c:v>
                </c:pt>
                <c:pt idx="37">
                  <c:v>0.66412714044265786</c:v>
                </c:pt>
                <c:pt idx="38">
                  <c:v>0.6647875327020154</c:v>
                </c:pt>
                <c:pt idx="39">
                  <c:v>0.66518358797689991</c:v>
                </c:pt>
                <c:pt idx="40">
                  <c:v>0.66531558016665171</c:v>
                </c:pt>
              </c:numCache>
            </c:numRef>
          </c:val>
          <c:extLst>
            <c:ext xmlns:c16="http://schemas.microsoft.com/office/drawing/2014/chart" uri="{C3380CC4-5D6E-409C-BE32-E72D297353CC}">
              <c16:uniqueId val="{00000020-C793-41C2-B036-5A15B329E20B}"/>
            </c:ext>
          </c:extLst>
        </c:ser>
        <c:ser>
          <c:idx val="24"/>
          <c:order val="24"/>
          <c:tx>
            <c:strRef>
              <c:f>Data!$M$71</c:f>
              <c:strCache>
                <c:ptCount val="1"/>
                <c:pt idx="0">
                  <c:v>25</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Data!$N$71:$BB$71</c:f>
              <c:numCache>
                <c:formatCode>0.000</c:formatCode>
                <c:ptCount val="41"/>
                <c:pt idx="0">
                  <c:v>0.40851439076826884</c:v>
                </c:pt>
                <c:pt idx="1">
                  <c:v>0.41256843278070904</c:v>
                </c:pt>
                <c:pt idx="2">
                  <c:v>0.42318419874247071</c:v>
                </c:pt>
                <c:pt idx="3">
                  <c:v>0.43722443614783607</c:v>
                </c:pt>
                <c:pt idx="4">
                  <c:v>0.45216527156461972</c:v>
                </c:pt>
                <c:pt idx="5">
                  <c:v>0.46669520075991006</c:v>
                </c:pt>
                <c:pt idx="6">
                  <c:v>0.48032078388074112</c:v>
                </c:pt>
                <c:pt idx="7">
                  <c:v>0.49293515068757532</c:v>
                </c:pt>
                <c:pt idx="8">
                  <c:v>0.50458353058192185</c:v>
                </c:pt>
                <c:pt idx="9">
                  <c:v>0.51535920491767373</c:v>
                </c:pt>
                <c:pt idx="10">
                  <c:v>0.52536288417814547</c:v>
                </c:pt>
                <c:pt idx="11">
                  <c:v>0.53468742023243643</c:v>
                </c:pt>
                <c:pt idx="12">
                  <c:v>0.54341381246145037</c:v>
                </c:pt>
                <c:pt idx="13">
                  <c:v>0.55161056393581842</c:v>
                </c:pt>
                <c:pt idx="14">
                  <c:v>0.55933492942690122</c:v>
                </c:pt>
                <c:pt idx="15">
                  <c:v>0.5666340041640282</c:v>
                </c:pt>
                <c:pt idx="16">
                  <c:v>0.5735461832670784</c:v>
                </c:pt>
                <c:pt idx="17">
                  <c:v>0.58010212460842825</c:v>
                </c:pt>
                <c:pt idx="18">
                  <c:v>0.58632591588807081</c:v>
                </c:pt>
                <c:pt idx="19">
                  <c:v>0.59223586079644264</c:v>
                </c:pt>
                <c:pt idx="20">
                  <c:v>0.59784547301969859</c:v>
                </c:pt>
                <c:pt idx="21">
                  <c:v>0.60316418799053362</c:v>
                </c:pt>
                <c:pt idx="22">
                  <c:v>0.60819826344165773</c:v>
                </c:pt>
                <c:pt idx="23">
                  <c:v>0.61295143601777646</c:v>
                </c:pt>
                <c:pt idx="24">
                  <c:v>0.61742572018288855</c:v>
                </c:pt>
                <c:pt idx="25">
                  <c:v>0.62162196156942229</c:v>
                </c:pt>
                <c:pt idx="26">
                  <c:v>0.62554047025782145</c:v>
                </c:pt>
                <c:pt idx="27">
                  <c:v>0.62918138370390542</c:v>
                </c:pt>
                <c:pt idx="28">
                  <c:v>0.63254504982645432</c:v>
                </c:pt>
                <c:pt idx="29">
                  <c:v>0.63563212903990696</c:v>
                </c:pt>
                <c:pt idx="30">
                  <c:v>0.63844370576193277</c:v>
                </c:pt>
                <c:pt idx="31">
                  <c:v>0.64098116730252164</c:v>
                </c:pt>
                <c:pt idx="32">
                  <c:v>0.64324614643050337</c:v>
                </c:pt>
                <c:pt idx="33">
                  <c:v>0.64524031738288457</c:v>
                </c:pt>
                <c:pt idx="34">
                  <c:v>0.64696531965131854</c:v>
                </c:pt>
                <c:pt idx="35">
                  <c:v>0.64842259607243768</c:v>
                </c:pt>
                <c:pt idx="36">
                  <c:v>0.64961338363828514</c:v>
                </c:pt>
                <c:pt idx="37">
                  <c:v>0.65053863211705654</c:v>
                </c:pt>
                <c:pt idx="38">
                  <c:v>0.65119906242481163</c:v>
                </c:pt>
                <c:pt idx="39">
                  <c:v>0.65159513595472118</c:v>
                </c:pt>
                <c:pt idx="40">
                  <c:v>0.65172713576521646</c:v>
                </c:pt>
              </c:numCache>
            </c:numRef>
          </c:val>
          <c:extLst>
            <c:ext xmlns:c16="http://schemas.microsoft.com/office/drawing/2014/chart" uri="{C3380CC4-5D6E-409C-BE32-E72D297353CC}">
              <c16:uniqueId val="{00000021-C793-41C2-B036-5A15B329E20B}"/>
            </c:ext>
          </c:extLst>
        </c:ser>
        <c:ser>
          <c:idx val="25"/>
          <c:order val="25"/>
          <c:tx>
            <c:strRef>
              <c:f>Data!$M$72</c:f>
              <c:strCache>
                <c:ptCount val="1"/>
                <c:pt idx="0">
                  <c:v>26</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Data!$N$72:$BB$72</c:f>
              <c:numCache>
                <c:formatCode>0.000</c:formatCode>
                <c:ptCount val="41"/>
                <c:pt idx="0">
                  <c:v>0.38932183828244676</c:v>
                </c:pt>
                <c:pt idx="1">
                  <c:v>0.39384874313615742</c:v>
                </c:pt>
                <c:pt idx="2">
                  <c:v>0.4055409101841253</c:v>
                </c:pt>
                <c:pt idx="3">
                  <c:v>0.42069580419734909</c:v>
                </c:pt>
                <c:pt idx="4">
                  <c:v>0.43651736023164328</c:v>
                </c:pt>
                <c:pt idx="5">
                  <c:v>0.45167694662025398</c:v>
                </c:pt>
                <c:pt idx="6">
                  <c:v>0.46574248161230553</c:v>
                </c:pt>
                <c:pt idx="7">
                  <c:v>0.47866600424697486</c:v>
                </c:pt>
                <c:pt idx="8">
                  <c:v>0.49053483841627965</c:v>
                </c:pt>
                <c:pt idx="9">
                  <c:v>0.50146990112459655</c:v>
                </c:pt>
                <c:pt idx="10">
                  <c:v>0.51159023066535336</c:v>
                </c:pt>
                <c:pt idx="11">
                  <c:v>0.52100084822795012</c:v>
                </c:pt>
                <c:pt idx="12">
                  <c:v>0.52979123586479182</c:v>
                </c:pt>
                <c:pt idx="13">
                  <c:v>0.53803579587405037</c:v>
                </c:pt>
                <c:pt idx="14">
                  <c:v>0.54579611023697105</c:v>
                </c:pt>
                <c:pt idx="15">
                  <c:v>0.55312236382898627</c:v>
                </c:pt>
                <c:pt idx="16">
                  <c:v>0.5600552818503779</c:v>
                </c:pt>
                <c:pt idx="17">
                  <c:v>0.56662718011965874</c:v>
                </c:pt>
                <c:pt idx="18">
                  <c:v>0.57286340824606685</c:v>
                </c:pt>
                <c:pt idx="19">
                  <c:v>0.57878314331878555</c:v>
                </c:pt>
                <c:pt idx="20">
                  <c:v>0.58440056909870519</c:v>
                </c:pt>
                <c:pt idx="21">
                  <c:v>0.58972556468527659</c:v>
                </c:pt>
                <c:pt idx="22">
                  <c:v>0.59476473844454569</c:v>
                </c:pt>
                <c:pt idx="23">
                  <c:v>0.59952204640349993</c:v>
                </c:pt>
                <c:pt idx="24">
                  <c:v>0.60399969128179121</c:v>
                </c:pt>
                <c:pt idx="25">
                  <c:v>0.60819863058130308</c:v>
                </c:pt>
                <c:pt idx="26">
                  <c:v>0.61211928892208012</c:v>
                </c:pt>
                <c:pt idx="27">
                  <c:v>0.61576187306783725</c:v>
                </c:pt>
                <c:pt idx="28">
                  <c:v>0.61912681910418121</c:v>
                </c:pt>
                <c:pt idx="29">
                  <c:v>0.62221484417688122</c:v>
                </c:pt>
                <c:pt idx="30">
                  <c:v>0.6250271102481888</c:v>
                </c:pt>
                <c:pt idx="31">
                  <c:v>0.62756505188388445</c:v>
                </c:pt>
                <c:pt idx="32">
                  <c:v>0.62983036489820121</c:v>
                </c:pt>
                <c:pt idx="33">
                  <c:v>0.63182475461425724</c:v>
                </c:pt>
                <c:pt idx="34">
                  <c:v>0.63354990459175253</c:v>
                </c:pt>
                <c:pt idx="35">
                  <c:v>0.63500727148150815</c:v>
                </c:pt>
                <c:pt idx="36">
                  <c:v>0.63619812029210399</c:v>
                </c:pt>
                <c:pt idx="37">
                  <c:v>0.63712340227348274</c:v>
                </c:pt>
                <c:pt idx="38">
                  <c:v>0.63778385634302714</c:v>
                </c:pt>
                <c:pt idx="39">
                  <c:v>0.63817993841572562</c:v>
                </c:pt>
                <c:pt idx="40">
                  <c:v>0.63831194417820591</c:v>
                </c:pt>
              </c:numCache>
            </c:numRef>
          </c:val>
          <c:extLst>
            <c:ext xmlns:c16="http://schemas.microsoft.com/office/drawing/2014/chart" uri="{C3380CC4-5D6E-409C-BE32-E72D297353CC}">
              <c16:uniqueId val="{00000022-C793-41C2-B036-5A15B329E20B}"/>
            </c:ext>
          </c:extLst>
        </c:ser>
        <c:ser>
          <c:idx val="26"/>
          <c:order val="26"/>
          <c:tx>
            <c:strRef>
              <c:f>Data!$M$73</c:f>
              <c:strCache>
                <c:ptCount val="1"/>
                <c:pt idx="0">
                  <c:v>27</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Data!$N$73:$BB$73</c:f>
              <c:numCache>
                <c:formatCode>0.000</c:formatCode>
                <c:ptCount val="41"/>
                <c:pt idx="0">
                  <c:v>0.36989473074824847</c:v>
                </c:pt>
                <c:pt idx="1">
                  <c:v>0.37497945621367973</c:v>
                </c:pt>
                <c:pt idx="2">
                  <c:v>0.3879073096654852</c:v>
                </c:pt>
                <c:pt idx="3">
                  <c:v>0.40428980550521332</c:v>
                </c:pt>
                <c:pt idx="4">
                  <c:v>0.42104283530662601</c:v>
                </c:pt>
                <c:pt idx="5">
                  <c:v>0.4368476763416882</c:v>
                </c:pt>
                <c:pt idx="6">
                  <c:v>0.4513543998624221</c:v>
                </c:pt>
                <c:pt idx="7">
                  <c:v>0.46458334854805344</c:v>
                </c:pt>
                <c:pt idx="8">
                  <c:v>0.4766677757461027</c:v>
                </c:pt>
                <c:pt idx="9">
                  <c:v>0.48775749059335582</c:v>
                </c:pt>
                <c:pt idx="10">
                  <c:v>0.49799033129041698</c:v>
                </c:pt>
                <c:pt idx="11">
                  <c:v>0.50748350423530386</c:v>
                </c:pt>
                <c:pt idx="12">
                  <c:v>0.51633497268549078</c:v>
                </c:pt>
                <c:pt idx="13">
                  <c:v>0.52462492644229619</c:v>
                </c:pt>
                <c:pt idx="14">
                  <c:v>0.53241923458871754</c:v>
                </c:pt>
                <c:pt idx="15">
                  <c:v>0.53977107977401984</c:v>
                </c:pt>
                <c:pt idx="16">
                  <c:v>0.54672348886707123</c:v>
                </c:pt>
                <c:pt idx="17">
                  <c:v>0.5533103666927065</c:v>
                </c:pt>
                <c:pt idx="18">
                  <c:v>0.55955830387450955</c:v>
                </c:pt>
                <c:pt idx="19">
                  <c:v>0.5654872944386089</c:v>
                </c:pt>
                <c:pt idx="20">
                  <c:v>0.57111217353810817</c:v>
                </c:pt>
                <c:pt idx="21">
                  <c:v>0.57644321465032311</c:v>
                </c:pt>
                <c:pt idx="22">
                  <c:v>0.58148735949748809</c:v>
                </c:pt>
                <c:pt idx="23">
                  <c:v>0.58624874060773946</c:v>
                </c:pt>
                <c:pt idx="24">
                  <c:v>0.59072973506828097</c:v>
                </c:pt>
                <c:pt idx="25">
                  <c:v>0.59493137761122927</c:v>
                </c:pt>
                <c:pt idx="26">
                  <c:v>0.5988542004976134</c:v>
                </c:pt>
                <c:pt idx="27">
                  <c:v>0.60249845643222621</c:v>
                </c:pt>
                <c:pt idx="28">
                  <c:v>0.60586467285329859</c:v>
                </c:pt>
                <c:pt idx="29">
                  <c:v>0.60895361220596977</c:v>
                </c:pt>
                <c:pt idx="30">
                  <c:v>0.61176652583112578</c:v>
                </c:pt>
                <c:pt idx="31">
                  <c:v>0.61430489152496204</c:v>
                </c:pt>
                <c:pt idx="32">
                  <c:v>0.61657048282331661</c:v>
                </c:pt>
                <c:pt idx="33">
                  <c:v>0.6185650331112269</c:v>
                </c:pt>
                <c:pt idx="34">
                  <c:v>0.62029028250387874</c:v>
                </c:pt>
                <c:pt idx="35">
                  <c:v>0.62174769590245593</c:v>
                </c:pt>
                <c:pt idx="36">
                  <c:v>0.622938575264253</c:v>
                </c:pt>
                <c:pt idx="37">
                  <c:v>0.6238638652114572</c:v>
                </c:pt>
                <c:pt idx="38">
                  <c:v>0.62452432940869873</c:v>
                </c:pt>
                <c:pt idx="39">
                  <c:v>0.62492040941059801</c:v>
                </c:pt>
                <c:pt idx="40">
                  <c:v>0.62505242023907825</c:v>
                </c:pt>
              </c:numCache>
            </c:numRef>
          </c:val>
          <c:extLst>
            <c:ext xmlns:c16="http://schemas.microsoft.com/office/drawing/2014/chart" uri="{C3380CC4-5D6E-409C-BE32-E72D297353CC}">
              <c16:uniqueId val="{00000023-C793-41C2-B036-5A15B329E20B}"/>
            </c:ext>
          </c:extLst>
        </c:ser>
        <c:ser>
          <c:idx val="27"/>
          <c:order val="27"/>
          <c:tx>
            <c:strRef>
              <c:f>Data!$M$74</c:f>
              <c:strCache>
                <c:ptCount val="1"/>
                <c:pt idx="0">
                  <c:v>28</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Data!$N$74:$BB$74</c:f>
              <c:numCache>
                <c:formatCode>0.000</c:formatCode>
                <c:ptCount val="41"/>
                <c:pt idx="0">
                  <c:v>0.35020092921167817</c:v>
                </c:pt>
                <c:pt idx="1">
                  <c:v>0.35594924833774844</c:v>
                </c:pt>
                <c:pt idx="2">
                  <c:v>0.37030211932161683</c:v>
                </c:pt>
                <c:pt idx="3">
                  <c:v>0.38803584673824726</c:v>
                </c:pt>
                <c:pt idx="4">
                  <c:v>0.40576987029758549</c:v>
                </c:pt>
                <c:pt idx="5">
                  <c:v>0.42223203026432993</c:v>
                </c:pt>
                <c:pt idx="6">
                  <c:v>0.4371784524007023</c:v>
                </c:pt>
                <c:pt idx="7">
                  <c:v>0.45070727858867854</c:v>
                </c:pt>
                <c:pt idx="8">
                  <c:v>0.4630013117784289</c:v>
                </c:pt>
                <c:pt idx="9">
                  <c:v>0.47424019860681943</c:v>
                </c:pt>
                <c:pt idx="10">
                  <c:v>0.48458093702999189</c:v>
                </c:pt>
                <c:pt idx="11">
                  <c:v>0.49415280064146949</c:v>
                </c:pt>
                <c:pt idx="12">
                  <c:v>0.5030622100641492</c:v>
                </c:pt>
                <c:pt idx="13">
                  <c:v>0.51139496993638212</c:v>
                </c:pt>
                <c:pt idx="14">
                  <c:v>0.51922120048488618</c:v>
                </c:pt>
                <c:pt idx="15">
                  <c:v>0.5265969562368007</c:v>
                </c:pt>
                <c:pt idx="16">
                  <c:v>0.53356754745657686</c:v>
                </c:pt>
                <c:pt idx="17">
                  <c:v>0.54016837621875957</c:v>
                </c:pt>
                <c:pt idx="18">
                  <c:v>0.54642726383376494</c:v>
                </c:pt>
                <c:pt idx="19">
                  <c:v>0.55236494770980993</c:v>
                </c:pt>
                <c:pt idx="20">
                  <c:v>0.55799690557856096</c:v>
                </c:pt>
                <c:pt idx="21">
                  <c:v>0.56333374248341894</c:v>
                </c:pt>
                <c:pt idx="22">
                  <c:v>0.56838272533649858</c:v>
                </c:pt>
                <c:pt idx="23">
                  <c:v>0.5731481092056816</c:v>
                </c:pt>
                <c:pt idx="24">
                  <c:v>0.57763244005130376</c:v>
                </c:pt>
                <c:pt idx="25">
                  <c:v>0.58183678577939801</c:v>
                </c:pt>
                <c:pt idx="26">
                  <c:v>0.58576178716075245</c:v>
                </c:pt>
                <c:pt idx="27">
                  <c:v>0.589407711310725</c:v>
                </c:pt>
                <c:pt idx="28">
                  <c:v>0.59277518756906522</c:v>
                </c:pt>
                <c:pt idx="29">
                  <c:v>0.59586500510465967</c:v>
                </c:pt>
                <c:pt idx="30">
                  <c:v>0.59867852348930117</c:v>
                </c:pt>
                <c:pt idx="31">
                  <c:v>0.60121725322647002</c:v>
                </c:pt>
                <c:pt idx="32">
                  <c:v>0.60348306678951635</c:v>
                </c:pt>
                <c:pt idx="33">
                  <c:v>0.60547771639157355</c:v>
                </c:pt>
                <c:pt idx="34">
                  <c:v>0.6072030172701256</c:v>
                </c:pt>
                <c:pt idx="35">
                  <c:v>0.60866043098489553</c:v>
                </c:pt>
                <c:pt idx="36">
                  <c:v>0.60985131115845737</c:v>
                </c:pt>
                <c:pt idx="37">
                  <c:v>0.61077658182353489</c:v>
                </c:pt>
                <c:pt idx="38">
                  <c:v>0.61143704377100805</c:v>
                </c:pt>
                <c:pt idx="39">
                  <c:v>0.61183310961752968</c:v>
                </c:pt>
                <c:pt idx="40">
                  <c:v>0.61196512600532782</c:v>
                </c:pt>
              </c:numCache>
            </c:numRef>
          </c:val>
          <c:extLst>
            <c:ext xmlns:c16="http://schemas.microsoft.com/office/drawing/2014/chart" uri="{C3380CC4-5D6E-409C-BE32-E72D297353CC}">
              <c16:uniqueId val="{00000024-C793-41C2-B036-5A15B329E20B}"/>
            </c:ext>
          </c:extLst>
        </c:ser>
        <c:ser>
          <c:idx val="28"/>
          <c:order val="28"/>
          <c:tx>
            <c:strRef>
              <c:f>Data!$M$75</c:f>
              <c:strCache>
                <c:ptCount val="1"/>
                <c:pt idx="0">
                  <c:v>29</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Data!$N$75:$BB$75</c:f>
              <c:numCache>
                <c:formatCode>0.000</c:formatCode>
                <c:ptCount val="41"/>
                <c:pt idx="0">
                  <c:v>0.33016604345038353</c:v>
                </c:pt>
                <c:pt idx="1">
                  <c:v>0.33671103623632598</c:v>
                </c:pt>
                <c:pt idx="2">
                  <c:v>0.35271485793033397</c:v>
                </c:pt>
                <c:pt idx="3">
                  <c:v>0.37193392216031501</c:v>
                </c:pt>
                <c:pt idx="4">
                  <c:v>0.39069559819001326</c:v>
                </c:pt>
                <c:pt idx="5">
                  <c:v>0.40782266584487642</c:v>
                </c:pt>
                <c:pt idx="6">
                  <c:v>0.42320422729759111</c:v>
                </c:pt>
                <c:pt idx="7">
                  <c:v>0.43702542498092029</c:v>
                </c:pt>
                <c:pt idx="8">
                  <c:v>0.44952192348089903</c:v>
                </c:pt>
                <c:pt idx="9">
                  <c:v>0.46090374172837451</c:v>
                </c:pt>
                <c:pt idx="10">
                  <c:v>0.47134729906805239</c:v>
                </c:pt>
                <c:pt idx="11">
                  <c:v>0.4809936487410329</c:v>
                </c:pt>
                <c:pt idx="12">
                  <c:v>0.48995764365790451</c:v>
                </c:pt>
                <c:pt idx="13">
                  <c:v>0.49833044889391542</c:v>
                </c:pt>
                <c:pt idx="14">
                  <c:v>0.50618642125916613</c:v>
                </c:pt>
                <c:pt idx="15">
                  <c:v>0.51358431224447842</c:v>
                </c:pt>
                <c:pt idx="16">
                  <c:v>0.52057172088116843</c:v>
                </c:pt>
                <c:pt idx="17">
                  <c:v>0.52718542015600089</c:v>
                </c:pt>
                <c:pt idx="18">
                  <c:v>0.53345447309670679</c:v>
                </c:pt>
                <c:pt idx="19">
                  <c:v>0.53940026018819887</c:v>
                </c:pt>
                <c:pt idx="20">
                  <c:v>0.54503891168482343</c:v>
                </c:pt>
                <c:pt idx="21">
                  <c:v>0.5503812797056411</c:v>
                </c:pt>
                <c:pt idx="22">
                  <c:v>0.55543496484462385</c:v>
                </c:pt>
                <c:pt idx="23">
                  <c:v>0.56020427260862904</c:v>
                </c:pt>
                <c:pt idx="24">
                  <c:v>0.56469192728089945</c:v>
                </c:pt>
                <c:pt idx="25">
                  <c:v>0.56889897024164238</c:v>
                </c:pt>
                <c:pt idx="26">
                  <c:v>0.57282616522304997</c:v>
                </c:pt>
                <c:pt idx="27">
                  <c:v>0.57647374849598221</c:v>
                </c:pt>
                <c:pt idx="28">
                  <c:v>0.57984247451455184</c:v>
                </c:pt>
                <c:pt idx="29">
                  <c:v>0.58293312844321943</c:v>
                </c:pt>
                <c:pt idx="30">
                  <c:v>0.58574720889204657</c:v>
                </c:pt>
                <c:pt idx="31">
                  <c:v>0.58828623741533193</c:v>
                </c:pt>
                <c:pt idx="32">
                  <c:v>0.59055221779725586</c:v>
                </c:pt>
                <c:pt idx="33">
                  <c:v>0.59254690124459486</c:v>
                </c:pt>
                <c:pt idx="34">
                  <c:v>0.59427220708019779</c:v>
                </c:pt>
                <c:pt idx="35">
                  <c:v>0.5957295716937544</c:v>
                </c:pt>
                <c:pt idx="36">
                  <c:v>0.59692042497801989</c:v>
                </c:pt>
                <c:pt idx="37">
                  <c:v>0.59784564649199401</c:v>
                </c:pt>
                <c:pt idx="38">
                  <c:v>0.59850609615123018</c:v>
                </c:pt>
                <c:pt idx="39">
                  <c:v>0.59890213335507869</c:v>
                </c:pt>
                <c:pt idx="40">
                  <c:v>0.59903415817984129</c:v>
                </c:pt>
              </c:numCache>
            </c:numRef>
          </c:val>
          <c:extLst>
            <c:ext xmlns:c16="http://schemas.microsoft.com/office/drawing/2014/chart" uri="{C3380CC4-5D6E-409C-BE32-E72D297353CC}">
              <c16:uniqueId val="{00000025-C793-41C2-B036-5A15B329E20B}"/>
            </c:ext>
          </c:extLst>
        </c:ser>
        <c:ser>
          <c:idx val="29"/>
          <c:order val="29"/>
          <c:tx>
            <c:strRef>
              <c:f>Data!$M$76</c:f>
              <c:strCache>
                <c:ptCount val="1"/>
                <c:pt idx="0">
                  <c:v>30</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Data!$N$76:$BB$76</c:f>
              <c:numCache>
                <c:formatCode>0.000</c:formatCode>
                <c:ptCount val="41"/>
                <c:pt idx="0">
                  <c:v>0.30973421370927789</c:v>
                </c:pt>
                <c:pt idx="1">
                  <c:v>0.31724521990515686</c:v>
                </c:pt>
                <c:pt idx="2">
                  <c:v>0.33517057579516335</c:v>
                </c:pt>
                <c:pt idx="3">
                  <c:v>0.35601858871468811</c:v>
                </c:pt>
                <c:pt idx="4">
                  <c:v>0.37584962800515892</c:v>
                </c:pt>
                <c:pt idx="5">
                  <c:v>0.39364367274803941</c:v>
                </c:pt>
                <c:pt idx="6">
                  <c:v>0.40945242551963684</c:v>
                </c:pt>
                <c:pt idx="7">
                  <c:v>0.42355640114673526</c:v>
                </c:pt>
                <c:pt idx="8">
                  <c:v>0.43624706154883364</c:v>
                </c:pt>
                <c:pt idx="9">
                  <c:v>0.44776479438233502</c:v>
                </c:pt>
                <c:pt idx="10">
                  <c:v>0.45830564341726721</c:v>
                </c:pt>
                <c:pt idx="11">
                  <c:v>0.46802193099332073</c:v>
                </c:pt>
                <c:pt idx="12">
                  <c:v>0.47703695393194712</c:v>
                </c:pt>
                <c:pt idx="13">
                  <c:v>0.48544686765439421</c:v>
                </c:pt>
                <c:pt idx="14">
                  <c:v>0.49333030153952906</c:v>
                </c:pt>
                <c:pt idx="15">
                  <c:v>0.50074845507744026</c:v>
                </c:pt>
                <c:pt idx="16">
                  <c:v>0.50775126763165401</c:v>
                </c:pt>
                <c:pt idx="17">
                  <c:v>0.51437670245400302</c:v>
                </c:pt>
                <c:pt idx="18">
                  <c:v>0.52065511467692827</c:v>
                </c:pt>
                <c:pt idx="19">
                  <c:v>0.52660838464754522</c:v>
                </c:pt>
                <c:pt idx="20">
                  <c:v>0.53225333868636349</c:v>
                </c:pt>
                <c:pt idx="21">
                  <c:v>0.5376009562135724</c:v>
                </c:pt>
                <c:pt idx="22">
                  <c:v>0.54265920923981803</c:v>
                </c:pt>
                <c:pt idx="23">
                  <c:v>0.54743235173678195</c:v>
                </c:pt>
                <c:pt idx="24">
                  <c:v>0.55192332164906566</c:v>
                </c:pt>
                <c:pt idx="25">
                  <c:v>0.55613304813393949</c:v>
                </c:pt>
                <c:pt idx="26">
                  <c:v>0.56006245564004931</c:v>
                </c:pt>
                <c:pt idx="27">
                  <c:v>0.56371168133212035</c:v>
                </c:pt>
                <c:pt idx="28">
                  <c:v>0.56708164952075546</c:v>
                </c:pt>
                <c:pt idx="29">
                  <c:v>0.57017309006628047</c:v>
                </c:pt>
                <c:pt idx="30">
                  <c:v>0.57298769158968299</c:v>
                </c:pt>
                <c:pt idx="31">
                  <c:v>0.57552694613985766</c:v>
                </c:pt>
                <c:pt idx="32">
                  <c:v>0.57779303997737363</c:v>
                </c:pt>
                <c:pt idx="33">
                  <c:v>0.57978768553059556</c:v>
                </c:pt>
                <c:pt idx="34">
                  <c:v>0.58151295277684634</c:v>
                </c:pt>
                <c:pt idx="35">
                  <c:v>0.58297021381956249</c:v>
                </c:pt>
                <c:pt idx="36">
                  <c:v>0.58416101622203886</c:v>
                </c:pt>
                <c:pt idx="37">
                  <c:v>0.58508615441657097</c:v>
                </c:pt>
                <c:pt idx="38">
                  <c:v>0.58574658577304339</c:v>
                </c:pt>
                <c:pt idx="39">
                  <c:v>0.58614257581442752</c:v>
                </c:pt>
                <c:pt idx="40">
                  <c:v>0.58627461599664332</c:v>
                </c:pt>
              </c:numCache>
            </c:numRef>
          </c:val>
          <c:extLst>
            <c:ext xmlns:c16="http://schemas.microsoft.com/office/drawing/2014/chart" uri="{C3380CC4-5D6E-409C-BE32-E72D297353CC}">
              <c16:uniqueId val="{00000026-C793-41C2-B036-5A15B329E20B}"/>
            </c:ext>
          </c:extLst>
        </c:ser>
        <c:ser>
          <c:idx val="30"/>
          <c:order val="30"/>
          <c:tx>
            <c:strRef>
              <c:f>Data!$M$77</c:f>
              <c:strCache>
                <c:ptCount val="1"/>
                <c:pt idx="0">
                  <c:v>31</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Data!$N$77:$BB$77</c:f>
              <c:numCache>
                <c:formatCode>0.000</c:formatCode>
                <c:ptCount val="41"/>
                <c:pt idx="0">
                  <c:v>0.288803702407401</c:v>
                </c:pt>
                <c:pt idx="1">
                  <c:v>0.29749884323311127</c:v>
                </c:pt>
                <c:pt idx="2">
                  <c:v>0.31767078515856884</c:v>
                </c:pt>
                <c:pt idx="3">
                  <c:v>0.34029872912432718</c:v>
                </c:pt>
                <c:pt idx="4">
                  <c:v>0.36123329488724365</c:v>
                </c:pt>
                <c:pt idx="5">
                  <c:v>0.37968973980465748</c:v>
                </c:pt>
                <c:pt idx="6">
                  <c:v>0.39591407602241341</c:v>
                </c:pt>
                <c:pt idx="7">
                  <c:v>0.41028902840950654</c:v>
                </c:pt>
                <c:pt idx="8">
                  <c:v>0.42316440190673454</c:v>
                </c:pt>
                <c:pt idx="9">
                  <c:v>0.43481023937182967</c:v>
                </c:pt>
                <c:pt idx="10">
                  <c:v>0.44544243383817061</c:v>
                </c:pt>
                <c:pt idx="11">
                  <c:v>0.45522376053065333</c:v>
                </c:pt>
                <c:pt idx="12">
                  <c:v>0.46428607297263164</c:v>
                </c:pt>
                <c:pt idx="13">
                  <c:v>0.4727299759052318</c:v>
                </c:pt>
                <c:pt idx="14">
                  <c:v>0.48063850592320539</c:v>
                </c:pt>
                <c:pt idx="15">
                  <c:v>0.48807494627393622</c:v>
                </c:pt>
                <c:pt idx="16">
                  <c:v>0.49509171139785668</c:v>
                </c:pt>
                <c:pt idx="17">
                  <c:v>0.50172768737703766</c:v>
                </c:pt>
                <c:pt idx="18">
                  <c:v>0.50801464070218361</c:v>
                </c:pt>
                <c:pt idx="19">
                  <c:v>0.51397473889754308</c:v>
                </c:pt>
                <c:pt idx="20">
                  <c:v>0.51962560585372397</c:v>
                </c:pt>
                <c:pt idx="21">
                  <c:v>0.52497817086731269</c:v>
                </c:pt>
                <c:pt idx="22">
                  <c:v>0.5300408650529681</c:v>
                </c:pt>
                <c:pt idx="23">
                  <c:v>0.53481773971190172</c:v>
                </c:pt>
                <c:pt idx="24">
                  <c:v>0.5393120256828785</c:v>
                </c:pt>
                <c:pt idx="25">
                  <c:v>0.54352441120750661</c:v>
                </c:pt>
                <c:pt idx="26">
                  <c:v>0.54745605850363488</c:v>
                </c:pt>
                <c:pt idx="27">
                  <c:v>0.55110689913577937</c:v>
                </c:pt>
                <c:pt idx="28">
                  <c:v>0.55447810805888365</c:v>
                </c:pt>
                <c:pt idx="29">
                  <c:v>0.5575702741394547</c:v>
                </c:pt>
                <c:pt idx="30">
                  <c:v>0.56038536055566346</c:v>
                </c:pt>
                <c:pt idx="31">
                  <c:v>0.56292475760711747</c:v>
                </c:pt>
                <c:pt idx="32">
                  <c:v>0.56519091651212372</c:v>
                </c:pt>
                <c:pt idx="33">
                  <c:v>0.56718544313792241</c:v>
                </c:pt>
                <c:pt idx="34">
                  <c:v>0.56891063409427167</c:v>
                </c:pt>
                <c:pt idx="35">
                  <c:v>0.57036772925623924</c:v>
                </c:pt>
                <c:pt idx="36">
                  <c:v>0.57155846335056948</c:v>
                </c:pt>
                <c:pt idx="37">
                  <c:v>0.57248347710584324</c:v>
                </c:pt>
                <c:pt idx="38">
                  <c:v>0.57314389098335361</c:v>
                </c:pt>
                <c:pt idx="39">
                  <c:v>0.57353980866145582</c:v>
                </c:pt>
                <c:pt idx="40">
                  <c:v>0.57367187788951257</c:v>
                </c:pt>
              </c:numCache>
            </c:numRef>
          </c:val>
          <c:extLst>
            <c:ext xmlns:c16="http://schemas.microsoft.com/office/drawing/2014/chart" uri="{C3380CC4-5D6E-409C-BE32-E72D297353CC}">
              <c16:uniqueId val="{00000027-C793-41C2-B036-5A15B329E20B}"/>
            </c:ext>
          </c:extLst>
        </c:ser>
        <c:ser>
          <c:idx val="31"/>
          <c:order val="31"/>
          <c:tx>
            <c:strRef>
              <c:f>Data!$M$78</c:f>
              <c:strCache>
                <c:ptCount val="1"/>
                <c:pt idx="0">
                  <c:v>32</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Data!$N$78:$BB$78</c:f>
              <c:numCache>
                <c:formatCode>0.000</c:formatCode>
                <c:ptCount val="41"/>
                <c:pt idx="0">
                  <c:v>0.26728020651141565</c:v>
                </c:pt>
                <c:pt idx="1">
                  <c:v>0.27744412566442894</c:v>
                </c:pt>
                <c:pt idx="2">
                  <c:v>0.30025401356968995</c:v>
                </c:pt>
                <c:pt idx="3">
                  <c:v>0.32481636368635169</c:v>
                </c:pt>
                <c:pt idx="4">
                  <c:v>0.34687793061365119</c:v>
                </c:pt>
                <c:pt idx="5">
                  <c:v>0.36598436990181543</c:v>
                </c:pt>
                <c:pt idx="6">
                  <c:v>0.38260882763202547</c:v>
                </c:pt>
                <c:pt idx="7">
                  <c:v>0.39724063428678913</c:v>
                </c:pt>
                <c:pt idx="8">
                  <c:v>0.41029017765054254</c:v>
                </c:pt>
                <c:pt idx="9">
                  <c:v>0.4220554929286911</c:v>
                </c:pt>
                <c:pt idx="10">
                  <c:v>0.43277271250604671</c:v>
                </c:pt>
                <c:pt idx="11">
                  <c:v>0.44261381364140351</c:v>
                </c:pt>
                <c:pt idx="12">
                  <c:v>0.45171952610826654</c:v>
                </c:pt>
                <c:pt idx="13">
                  <c:v>0.4601941032586131</c:v>
                </c:pt>
                <c:pt idx="14">
                  <c:v>0.46812529976250544</c:v>
                </c:pt>
                <c:pt idx="15">
                  <c:v>0.47557793660467368</c:v>
                </c:pt>
                <c:pt idx="16">
                  <c:v>0.48260718069246672</c:v>
                </c:pt>
                <c:pt idx="17">
                  <c:v>0.48925243430635934</c:v>
                </c:pt>
                <c:pt idx="18">
                  <c:v>0.49554711088851361</c:v>
                </c:pt>
                <c:pt idx="19">
                  <c:v>0.50151334017365601</c:v>
                </c:pt>
                <c:pt idx="20">
                  <c:v>0.50716974228320943</c:v>
                </c:pt>
                <c:pt idx="21">
                  <c:v>0.51252692534459454</c:v>
                </c:pt>
                <c:pt idx="22">
                  <c:v>0.51759395050878632</c:v>
                </c:pt>
                <c:pt idx="23">
                  <c:v>0.52237443512503801</c:v>
                </c:pt>
                <c:pt idx="24">
                  <c:v>0.52687205501455592</c:v>
                </c:pt>
                <c:pt idx="25">
                  <c:v>0.53108705852483928</c:v>
                </c:pt>
                <c:pt idx="26">
                  <c:v>0.53502098771395568</c:v>
                </c:pt>
                <c:pt idx="27">
                  <c:v>0.53867339934833314</c:v>
                </c:pt>
                <c:pt idx="28">
                  <c:v>0.54204585919967974</c:v>
                </c:pt>
                <c:pt idx="29">
                  <c:v>0.54513867279102157</c:v>
                </c:pt>
                <c:pt idx="30">
                  <c:v>0.54795421752985285</c:v>
                </c:pt>
                <c:pt idx="31">
                  <c:v>0.5504936574077347</c:v>
                </c:pt>
                <c:pt idx="32">
                  <c:v>0.55275984249138455</c:v>
                </c:pt>
                <c:pt idx="33">
                  <c:v>0.55475415487051194</c:v>
                </c:pt>
                <c:pt idx="34">
                  <c:v>0.55647924215239863</c:v>
                </c:pt>
                <c:pt idx="35">
                  <c:v>0.5579360966530208</c:v>
                </c:pt>
                <c:pt idx="36">
                  <c:v>0.55912675603779871</c:v>
                </c:pt>
                <c:pt idx="37">
                  <c:v>0.56005159287313322</c:v>
                </c:pt>
                <c:pt idx="38">
                  <c:v>0.56071200135405763</c:v>
                </c:pt>
                <c:pt idx="39">
                  <c:v>0.56110781045857849</c:v>
                </c:pt>
                <c:pt idx="40">
                  <c:v>0.56123993354134349</c:v>
                </c:pt>
              </c:numCache>
            </c:numRef>
          </c:val>
          <c:extLst>
            <c:ext xmlns:c16="http://schemas.microsoft.com/office/drawing/2014/chart" uri="{C3380CC4-5D6E-409C-BE32-E72D297353CC}">
              <c16:uniqueId val="{00000028-C793-41C2-B036-5A15B329E20B}"/>
            </c:ext>
          </c:extLst>
        </c:ser>
        <c:ser>
          <c:idx val="32"/>
          <c:order val="32"/>
          <c:tx>
            <c:strRef>
              <c:f>Data!$M$79</c:f>
              <c:strCache>
                <c:ptCount val="1"/>
                <c:pt idx="0">
                  <c:v>33</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Data!$N$79:$BB$79</c:f>
              <c:numCache>
                <c:formatCode>0.000</c:formatCode>
                <c:ptCount val="41"/>
                <c:pt idx="0">
                  <c:v>0.2450135542529813</c:v>
                </c:pt>
                <c:pt idx="1">
                  <c:v>0.25702292370233432</c:v>
                </c:pt>
                <c:pt idx="2">
                  <c:v>0.28294243383370216</c:v>
                </c:pt>
                <c:pt idx="3">
                  <c:v>0.30959075242204637</c:v>
                </c:pt>
                <c:pt idx="4">
                  <c:v>0.33278845004358754</c:v>
                </c:pt>
                <c:pt idx="5">
                  <c:v>0.35252345297325693</c:v>
                </c:pt>
                <c:pt idx="6">
                  <c:v>0.36952863606689823</c:v>
                </c:pt>
                <c:pt idx="7">
                  <c:v>0.38440074110300132</c:v>
                </c:pt>
                <c:pt idx="8">
                  <c:v>0.39761291303683843</c:v>
                </c:pt>
                <c:pt idx="9">
                  <c:v>0.40948822615979635</c:v>
                </c:pt>
                <c:pt idx="10">
                  <c:v>0.42028384420127973</c:v>
                </c:pt>
                <c:pt idx="11">
                  <c:v>0.43017906205729867</c:v>
                </c:pt>
                <c:pt idx="12">
                  <c:v>0.4393241785877734</c:v>
                </c:pt>
                <c:pt idx="13">
                  <c:v>0.44782589641332898</c:v>
                </c:pt>
                <c:pt idx="14">
                  <c:v>0.45577729675020912</c:v>
                </c:pt>
                <c:pt idx="15">
                  <c:v>0.46324390618073041</c:v>
                </c:pt>
                <c:pt idx="16">
                  <c:v>0.4702841570778834</c:v>
                </c:pt>
                <c:pt idx="17">
                  <c:v>0.47693733998858001</c:v>
                </c:pt>
                <c:pt idx="18">
                  <c:v>0.48323894142113971</c:v>
                </c:pt>
                <c:pt idx="19">
                  <c:v>0.48921054909450973</c:v>
                </c:pt>
                <c:pt idx="20">
                  <c:v>0.49487213644976036</c:v>
                </c:pt>
                <c:pt idx="21">
                  <c:v>0.5002335695179958</c:v>
                </c:pt>
                <c:pt idx="22">
                  <c:v>0.5053048457302256</c:v>
                </c:pt>
                <c:pt idx="23">
                  <c:v>0.51008878861013096</c:v>
                </c:pt>
                <c:pt idx="24">
                  <c:v>0.51458978920448073</c:v>
                </c:pt>
                <c:pt idx="25">
                  <c:v>0.51880734404315521</c:v>
                </c:pt>
                <c:pt idx="26">
                  <c:v>0.5227436223534434</c:v>
                </c:pt>
                <c:pt idx="27">
                  <c:v>0.52639753593775551</c:v>
                </c:pt>
                <c:pt idx="28">
                  <c:v>0.52977127742820451</c:v>
                </c:pt>
                <c:pt idx="29">
                  <c:v>0.53286463515903704</c:v>
                </c:pt>
                <c:pt idx="30">
                  <c:v>0.53568062918238624</c:v>
                </c:pt>
                <c:pt idx="31">
                  <c:v>0.53821998806291993</c:v>
                </c:pt>
                <c:pt idx="32">
                  <c:v>0.54048617738134053</c:v>
                </c:pt>
                <c:pt idx="33">
                  <c:v>0.54248015841863217</c:v>
                </c:pt>
                <c:pt idx="34">
                  <c:v>0.54420513218192379</c:v>
                </c:pt>
                <c:pt idx="35">
                  <c:v>0.54566165170538927</c:v>
                </c:pt>
                <c:pt idx="36">
                  <c:v>0.54685224808953203</c:v>
                </c:pt>
                <c:pt idx="37">
                  <c:v>0.54777683735752813</c:v>
                </c:pt>
                <c:pt idx="38">
                  <c:v>0.54843727072671389</c:v>
                </c:pt>
                <c:pt idx="39">
                  <c:v>0.54883291729404737</c:v>
                </c:pt>
                <c:pt idx="40">
                  <c:v>0.54896513697824723</c:v>
                </c:pt>
              </c:numCache>
            </c:numRef>
          </c:val>
          <c:extLst>
            <c:ext xmlns:c16="http://schemas.microsoft.com/office/drawing/2014/chart" uri="{C3380CC4-5D6E-409C-BE32-E72D297353CC}">
              <c16:uniqueId val="{00000029-C793-41C2-B036-5A15B329E20B}"/>
            </c:ext>
          </c:extLst>
        </c:ser>
        <c:ser>
          <c:idx val="33"/>
          <c:order val="33"/>
          <c:tx>
            <c:strRef>
              <c:f>Data!$M$80</c:f>
              <c:strCache>
                <c:ptCount val="1"/>
                <c:pt idx="0">
                  <c:v>34</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Data!$N$80:$BB$80</c:f>
              <c:numCache>
                <c:formatCode>0.000</c:formatCode>
                <c:ptCount val="41"/>
                <c:pt idx="0">
                  <c:v>0.22184218647673729</c:v>
                </c:pt>
                <c:pt idx="1">
                  <c:v>0.23620288364971748</c:v>
                </c:pt>
                <c:pt idx="2">
                  <c:v>0.26580004812505137</c:v>
                </c:pt>
                <c:pt idx="3">
                  <c:v>0.29467300564617221</c:v>
                </c:pt>
                <c:pt idx="4">
                  <c:v>0.31899755612138264</c:v>
                </c:pt>
                <c:pt idx="5">
                  <c:v>0.33932951365670067</c:v>
                </c:pt>
                <c:pt idx="6">
                  <c:v>0.35669216450691765</c:v>
                </c:pt>
                <c:pt idx="7">
                  <c:v>0.37178545831419452</c:v>
                </c:pt>
                <c:pt idx="8">
                  <c:v>0.38514787210314771</c:v>
                </c:pt>
                <c:pt idx="9">
                  <c:v>0.3971227916207985</c:v>
                </c:pt>
                <c:pt idx="10">
                  <c:v>0.40798997149446248</c:v>
                </c:pt>
                <c:pt idx="11">
                  <c:v>0.41793320922745397</c:v>
                </c:pt>
                <c:pt idx="12">
                  <c:v>0.42711369002645838</c:v>
                </c:pt>
                <c:pt idx="13">
                  <c:v>0.43563875872678304</c:v>
                </c:pt>
                <c:pt idx="14">
                  <c:v>0.44360791148395678</c:v>
                </c:pt>
                <c:pt idx="15">
                  <c:v>0.45108610523465437</c:v>
                </c:pt>
                <c:pt idx="16">
                  <c:v>0.45813592593906838</c:v>
                </c:pt>
                <c:pt idx="17">
                  <c:v>0.46479557972295799</c:v>
                </c:pt>
                <c:pt idx="18">
                  <c:v>0.47110335417442317</c:v>
                </c:pt>
                <c:pt idx="19">
                  <c:v>0.47707951086685352</c:v>
                </c:pt>
                <c:pt idx="20">
                  <c:v>0.48274598408192765</c:v>
                </c:pt>
                <c:pt idx="21">
                  <c:v>0.48811124245352822</c:v>
                </c:pt>
                <c:pt idx="22">
                  <c:v>0.49318673943340485</c:v>
                </c:pt>
                <c:pt idx="23">
                  <c:v>0.49797394352241187</c:v>
                </c:pt>
                <c:pt idx="24">
                  <c:v>0.50247841741348021</c:v>
                </c:pt>
                <c:pt idx="25">
                  <c:v>0.50669841693091022</c:v>
                </c:pt>
                <c:pt idx="26">
                  <c:v>0.51063715147336142</c:v>
                </c:pt>
                <c:pt idx="27">
                  <c:v>0.51429245933358603</c:v>
                </c:pt>
                <c:pt idx="28">
                  <c:v>0.51766754665283787</c:v>
                </c:pt>
                <c:pt idx="29">
                  <c:v>0.52076130693189004</c:v>
                </c:pt>
                <c:pt idx="30">
                  <c:v>0.52357777045591503</c:v>
                </c:pt>
                <c:pt idx="31">
                  <c:v>0.52611688822824343</c:v>
                </c:pt>
                <c:pt idx="32">
                  <c:v>0.52838308783714427</c:v>
                </c:pt>
                <c:pt idx="33">
                  <c:v>0.53037658729881121</c:v>
                </c:pt>
                <c:pt idx="34">
                  <c:v>0.53210146595773045</c:v>
                </c:pt>
                <c:pt idx="35">
                  <c:v>0.53355752592279382</c:v>
                </c:pt>
                <c:pt idx="36">
                  <c:v>0.53474809962377801</c:v>
                </c:pt>
                <c:pt idx="37">
                  <c:v>0.53567234216395443</c:v>
                </c:pt>
                <c:pt idx="38">
                  <c:v>0.53633285924304674</c:v>
                </c:pt>
                <c:pt idx="39">
                  <c:v>0.53672826137208529</c:v>
                </c:pt>
                <c:pt idx="40">
                  <c:v>0.53686064854386462</c:v>
                </c:pt>
              </c:numCache>
            </c:numRef>
          </c:val>
          <c:extLst>
            <c:ext xmlns:c16="http://schemas.microsoft.com/office/drawing/2014/chart" uri="{C3380CC4-5D6E-409C-BE32-E72D297353CC}">
              <c16:uniqueId val="{0000002A-C793-41C2-B036-5A15B329E20B}"/>
            </c:ext>
          </c:extLst>
        </c:ser>
        <c:ser>
          <c:idx val="34"/>
          <c:order val="34"/>
          <c:tx>
            <c:strRef>
              <c:f>Data!$M$81</c:f>
              <c:strCache>
                <c:ptCount val="1"/>
                <c:pt idx="0">
                  <c:v>35</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Data!$N$81:$BB$81</c:f>
              <c:numCache>
                <c:formatCode>0.000</c:formatCode>
                <c:ptCount val="41"/>
                <c:pt idx="0">
                  <c:v>0.19752586338173403</c:v>
                </c:pt>
                <c:pt idx="1">
                  <c:v>0.21492796836830191</c:v>
                </c:pt>
                <c:pt idx="2">
                  <c:v>0.24888450291380165</c:v>
                </c:pt>
                <c:pt idx="3">
                  <c:v>0.28009300199276321</c:v>
                </c:pt>
                <c:pt idx="4">
                  <c:v>0.30551248786892771</c:v>
                </c:pt>
                <c:pt idx="5">
                  <c:v>0.32639858217566381</c:v>
                </c:pt>
                <c:pt idx="6">
                  <c:v>0.34409184359794048</c:v>
                </c:pt>
                <c:pt idx="7">
                  <c:v>0.35938452823876066</c:v>
                </c:pt>
                <c:pt idx="8">
                  <c:v>0.37288417106830768</c:v>
                </c:pt>
                <c:pt idx="9">
                  <c:v>0.38494730792840709</c:v>
                </c:pt>
                <c:pt idx="10">
                  <c:v>0.39587913453455004</c:v>
                </c:pt>
                <c:pt idx="11">
                  <c:v>0.40586378758236019</c:v>
                </c:pt>
                <c:pt idx="12">
                  <c:v>0.41507563474710635</c:v>
                </c:pt>
                <c:pt idx="13">
                  <c:v>0.42361995335285102</c:v>
                </c:pt>
                <c:pt idx="14">
                  <c:v>0.43160447952572528</c:v>
                </c:pt>
                <c:pt idx="15">
                  <c:v>0.43909166082423856</c:v>
                </c:pt>
                <c:pt idx="16">
                  <c:v>0.44614969642295754</c:v>
                </c:pt>
                <c:pt idx="17">
                  <c:v>0.45281421663369553</c:v>
                </c:pt>
                <c:pt idx="18">
                  <c:v>0.45912749678998582</c:v>
                </c:pt>
                <c:pt idx="19">
                  <c:v>0.46510726657046814</c:v>
                </c:pt>
                <c:pt idx="20">
                  <c:v>0.47077840853190694</c:v>
                </c:pt>
                <c:pt idx="21">
                  <c:v>0.47614698532265948</c:v>
                </c:pt>
                <c:pt idx="22">
                  <c:v>0.48122674966895029</c:v>
                </c:pt>
                <c:pt idx="23">
                  <c:v>0.48601695019377122</c:v>
                </c:pt>
                <c:pt idx="24">
                  <c:v>0.4905250595505114</c:v>
                </c:pt>
                <c:pt idx="25">
                  <c:v>0.49474733694052248</c:v>
                </c:pt>
                <c:pt idx="26">
                  <c:v>0.49868869563144352</c:v>
                </c:pt>
                <c:pt idx="27">
                  <c:v>0.50234523268968423</c:v>
                </c:pt>
                <c:pt idx="28">
                  <c:v>0.50572178204865958</c:v>
                </c:pt>
                <c:pt idx="29">
                  <c:v>0.50881574728990109</c:v>
                </c:pt>
                <c:pt idx="30">
                  <c:v>0.51163274663825797</c:v>
                </c:pt>
                <c:pt idx="31">
                  <c:v>0.51417141016973478</c:v>
                </c:pt>
                <c:pt idx="32">
                  <c:v>0.51643766998629403</c:v>
                </c:pt>
                <c:pt idx="33">
                  <c:v>0.51843048877710374</c:v>
                </c:pt>
                <c:pt idx="34">
                  <c:v>0.52015533427890737</c:v>
                </c:pt>
                <c:pt idx="35">
                  <c:v>0.52161076488675451</c:v>
                </c:pt>
                <c:pt idx="36">
                  <c:v>0.52280139970730066</c:v>
                </c:pt>
                <c:pt idx="37">
                  <c:v>0.52372515337298742</c:v>
                </c:pt>
                <c:pt idx="38">
                  <c:v>0.5243858560902428</c:v>
                </c:pt>
                <c:pt idx="39">
                  <c:v>0.52478088963738079</c:v>
                </c:pt>
                <c:pt idx="40">
                  <c:v>0.52491355768804837</c:v>
                </c:pt>
              </c:numCache>
            </c:numRef>
          </c:val>
          <c:extLst>
            <c:ext xmlns:c16="http://schemas.microsoft.com/office/drawing/2014/chart" uri="{C3380CC4-5D6E-409C-BE32-E72D297353CC}">
              <c16:uniqueId val="{0000002B-C793-41C2-B036-5A15B329E20B}"/>
            </c:ext>
          </c:extLst>
        </c:ser>
        <c:ser>
          <c:idx val="35"/>
          <c:order val="35"/>
          <c:tx>
            <c:strRef>
              <c:f>Data!$M$82</c:f>
              <c:strCache>
                <c:ptCount val="1"/>
                <c:pt idx="0">
                  <c:v>36</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Data!$N$82:$BB$82</c:f>
              <c:numCache>
                <c:formatCode>0.000</c:formatCode>
                <c:ptCount val="41"/>
                <c:pt idx="0">
                  <c:v>0.17177613439324091</c:v>
                </c:pt>
                <c:pt idx="1">
                  <c:v>0.1931764347879249</c:v>
                </c:pt>
                <c:pt idx="2">
                  <c:v>0.23230437600489875</c:v>
                </c:pt>
                <c:pt idx="3">
                  <c:v>0.26591022738897818</c:v>
                </c:pt>
                <c:pt idx="4">
                  <c:v>0.29236607665303105</c:v>
                </c:pt>
                <c:pt idx="5">
                  <c:v>0.31375149509438849</c:v>
                </c:pt>
                <c:pt idx="6">
                  <c:v>0.33174536865644427</c:v>
                </c:pt>
                <c:pt idx="7">
                  <c:v>0.3472128178671865</c:v>
                </c:pt>
                <c:pt idx="8">
                  <c:v>0.36083633025916667</c:v>
                </c:pt>
                <c:pt idx="9">
                  <c:v>0.37297518722299416</c:v>
                </c:pt>
                <c:pt idx="10">
                  <c:v>0.38396482864157166</c:v>
                </c:pt>
                <c:pt idx="11">
                  <c:v>0.39398369560833113</c:v>
                </c:pt>
                <c:pt idx="12">
                  <c:v>0.40322305806822456</c:v>
                </c:pt>
                <c:pt idx="13">
                  <c:v>0.41178214359401788</c:v>
                </c:pt>
                <c:pt idx="14">
                  <c:v>0.4197798115628773</c:v>
                </c:pt>
                <c:pt idx="15">
                  <c:v>0.42727311845875132</c:v>
                </c:pt>
                <c:pt idx="16">
                  <c:v>0.43433815369974166</c:v>
                </c:pt>
                <c:pt idx="17">
                  <c:v>0.44100574378682322</c:v>
                </c:pt>
                <c:pt idx="18">
                  <c:v>0.44732399335492634</c:v>
                </c:pt>
                <c:pt idx="19">
                  <c:v>0.45330629537734068</c:v>
                </c:pt>
                <c:pt idx="20">
                  <c:v>0.45898201011957801</c:v>
                </c:pt>
                <c:pt idx="21">
                  <c:v>0.46435328349789062</c:v>
                </c:pt>
                <c:pt idx="22">
                  <c:v>0.46943747200293939</c:v>
                </c:pt>
                <c:pt idx="23">
                  <c:v>0.47423030777140646</c:v>
                </c:pt>
                <c:pt idx="24">
                  <c:v>0.4787423134532407</c:v>
                </c:pt>
                <c:pt idx="25">
                  <c:v>0.48296661594639784</c:v>
                </c:pt>
                <c:pt idx="26">
                  <c:v>0.48691085322034516</c:v>
                </c:pt>
                <c:pt idx="27">
                  <c:v>0.49056837308721368</c:v>
                </c:pt>
                <c:pt idx="28">
                  <c:v>0.4939465756154221</c:v>
                </c:pt>
                <c:pt idx="29">
                  <c:v>0.49704046974109611</c:v>
                </c:pt>
                <c:pt idx="30">
                  <c:v>0.49985813824736813</c:v>
                </c:pt>
                <c:pt idx="31">
                  <c:v>0.50239606027675376</c:v>
                </c:pt>
                <c:pt idx="32">
                  <c:v>0.50466249379743877</c:v>
                </c:pt>
                <c:pt idx="33">
                  <c:v>0.5066543641452147</c:v>
                </c:pt>
                <c:pt idx="34">
                  <c:v>0.50837930096583595</c:v>
                </c:pt>
                <c:pt idx="35">
                  <c:v>0.50983386837547129</c:v>
                </c:pt>
                <c:pt idx="36">
                  <c:v>0.51102471011104178</c:v>
                </c:pt>
                <c:pt idx="37">
                  <c:v>0.51194777155036364</c:v>
                </c:pt>
                <c:pt idx="38">
                  <c:v>0.51260882311510347</c:v>
                </c:pt>
                <c:pt idx="39">
                  <c:v>0.51300330373870673</c:v>
                </c:pt>
                <c:pt idx="40">
                  <c:v>0.51313642653271263</c:v>
                </c:pt>
              </c:numCache>
            </c:numRef>
          </c:val>
          <c:extLst>
            <c:ext xmlns:c16="http://schemas.microsoft.com/office/drawing/2014/chart" uri="{C3380CC4-5D6E-409C-BE32-E72D297353CC}">
              <c16:uniqueId val="{0000002C-C793-41C2-B036-5A15B329E20B}"/>
            </c:ext>
          </c:extLst>
        </c:ser>
        <c:ser>
          <c:idx val="36"/>
          <c:order val="36"/>
          <c:tx>
            <c:strRef>
              <c:f>Data!$M$83</c:f>
              <c:strCache>
                <c:ptCount val="1"/>
                <c:pt idx="0">
                  <c:v>37</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Data!$N$83:$BB$83</c:f>
              <c:numCache>
                <c:formatCode>0.000</c:formatCode>
                <c:ptCount val="41"/>
                <c:pt idx="0">
                  <c:v>0.14417446104675241</c:v>
                </c:pt>
                <c:pt idx="1">
                  <c:v>0.17092202601500833</c:v>
                </c:pt>
                <c:pt idx="2">
                  <c:v>0.21617533262463673</c:v>
                </c:pt>
                <c:pt idx="3">
                  <c:v>0.2521619338891774</c:v>
                </c:pt>
                <c:pt idx="4">
                  <c:v>0.27956564446241405</c:v>
                </c:pt>
                <c:pt idx="5">
                  <c:v>0.30138326145477345</c:v>
                </c:pt>
                <c:pt idx="6">
                  <c:v>0.31964518850273882</c:v>
                </c:pt>
                <c:pt idx="7">
                  <c:v>0.33525987027890286</c:v>
                </c:pt>
                <c:pt idx="8">
                  <c:v>0.34899383452829907</c:v>
                </c:pt>
                <c:pt idx="9">
                  <c:v>0.36119471298695316</c:v>
                </c:pt>
                <c:pt idx="10">
                  <c:v>0.37223557924816314</c:v>
                </c:pt>
                <c:pt idx="11">
                  <c:v>0.38228078129673732</c:v>
                </c:pt>
                <c:pt idx="12">
                  <c:v>0.39154405599241127</c:v>
                </c:pt>
                <c:pt idx="13">
                  <c:v>0.40011297817897723</c:v>
                </c:pt>
                <c:pt idx="14">
                  <c:v>0.40812177548295842</c:v>
                </c:pt>
                <c:pt idx="15">
                  <c:v>0.41561802841782619</c:v>
                </c:pt>
                <c:pt idx="16">
                  <c:v>0.42268904272552699</c:v>
                </c:pt>
                <c:pt idx="17">
                  <c:v>0.42935767140731768</c:v>
                </c:pt>
                <c:pt idx="18">
                  <c:v>0.43568052955454106</c:v>
                </c:pt>
                <c:pt idx="19">
                  <c:v>0.44166410261174105</c:v>
                </c:pt>
                <c:pt idx="20">
                  <c:v>0.44734445246998827</c:v>
                </c:pt>
                <c:pt idx="21">
                  <c:v>0.45271765538940695</c:v>
                </c:pt>
                <c:pt idx="22">
                  <c:v>0.45780656687887344</c:v>
                </c:pt>
                <c:pt idx="23">
                  <c:v>0.46260155376512585</c:v>
                </c:pt>
                <c:pt idx="24">
                  <c:v>0.46711784314752675</c:v>
                </c:pt>
                <c:pt idx="25">
                  <c:v>0.47134380812892268</c:v>
                </c:pt>
                <c:pt idx="26">
                  <c:v>0.47529128948649202</c:v>
                </c:pt>
                <c:pt idx="27">
                  <c:v>0.47894944223761454</c:v>
                </c:pt>
                <c:pt idx="28">
                  <c:v>0.48232958576952012</c:v>
                </c:pt>
                <c:pt idx="29">
                  <c:v>0.48542303320301683</c:v>
                </c:pt>
                <c:pt idx="30">
                  <c:v>0.48824159104065917</c:v>
                </c:pt>
                <c:pt idx="31">
                  <c:v>0.49077839045287314</c:v>
                </c:pt>
                <c:pt idx="32">
                  <c:v>0.49304519343744857</c:v>
                </c:pt>
                <c:pt idx="33">
                  <c:v>0.49503576039069463</c:v>
                </c:pt>
                <c:pt idx="34">
                  <c:v>0.49676099352751218</c:v>
                </c:pt>
                <c:pt idx="35">
                  <c:v>0.49821438226636255</c:v>
                </c:pt>
                <c:pt idx="36">
                  <c:v>0.49940565621900557</c:v>
                </c:pt>
                <c:pt idx="37">
                  <c:v>0.50032774382316236</c:v>
                </c:pt>
                <c:pt idx="38">
                  <c:v>0.50098938588915642</c:v>
                </c:pt>
                <c:pt idx="39">
                  <c:v>0.50138305219084589</c:v>
                </c:pt>
                <c:pt idx="40">
                  <c:v>0.50151688098883274</c:v>
                </c:pt>
              </c:numCache>
            </c:numRef>
          </c:val>
          <c:extLst>
            <c:ext xmlns:c16="http://schemas.microsoft.com/office/drawing/2014/chart" uri="{C3380CC4-5D6E-409C-BE32-E72D297353CC}">
              <c16:uniqueId val="{0000002D-C793-41C2-B036-5A15B329E20B}"/>
            </c:ext>
          </c:extLst>
        </c:ser>
        <c:ser>
          <c:idx val="37"/>
          <c:order val="37"/>
          <c:tx>
            <c:strRef>
              <c:f>Data!$M$84</c:f>
              <c:strCache>
                <c:ptCount val="1"/>
                <c:pt idx="0">
                  <c:v>38</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Data!$N$84:$BB$84</c:f>
              <c:numCache>
                <c:formatCode>0.000</c:formatCode>
                <c:ptCount val="41"/>
                <c:pt idx="0">
                  <c:v>0.11417409884283472</c:v>
                </c:pt>
                <c:pt idx="1">
                  <c:v>0.1482040119639231</c:v>
                </c:pt>
                <c:pt idx="2">
                  <c:v>0.20067631655845516</c:v>
                </c:pt>
                <c:pt idx="3">
                  <c:v>0.23891038996877914</c:v>
                </c:pt>
                <c:pt idx="4">
                  <c:v>0.26714149082722083</c:v>
                </c:pt>
                <c:pt idx="5">
                  <c:v>0.28931248848159102</c:v>
                </c:pt>
                <c:pt idx="6">
                  <c:v>0.30780776564224627</c:v>
                </c:pt>
                <c:pt idx="7">
                  <c:v>0.32353944752902564</c:v>
                </c:pt>
                <c:pt idx="8">
                  <c:v>0.33737050982958089</c:v>
                </c:pt>
                <c:pt idx="9">
                  <c:v>0.34961857067188795</c:v>
                </c:pt>
                <c:pt idx="10">
                  <c:v>0.3607043551995045</c:v>
                </c:pt>
                <c:pt idx="11">
                  <c:v>0.37076735700422281</c:v>
                </c:pt>
                <c:pt idx="12">
                  <c:v>0.38005120521810482</c:v>
                </c:pt>
                <c:pt idx="13">
                  <c:v>0.38862459463188004</c:v>
                </c:pt>
                <c:pt idx="14">
                  <c:v>0.39664273552312623</c:v>
                </c:pt>
                <c:pt idx="15">
                  <c:v>0.40413844110089708</c:v>
                </c:pt>
                <c:pt idx="16">
                  <c:v>0.41121461294309214</c:v>
                </c:pt>
                <c:pt idx="17">
                  <c:v>0.41788201652400425</c:v>
                </c:pt>
                <c:pt idx="18">
                  <c:v>0.4242093009655804</c:v>
                </c:pt>
                <c:pt idx="19">
                  <c:v>0.43019270519410902</c:v>
                </c:pt>
                <c:pt idx="20">
                  <c:v>0.4358779131692192</c:v>
                </c:pt>
                <c:pt idx="21">
                  <c:v>0.44125213465169028</c:v>
                </c:pt>
                <c:pt idx="22">
                  <c:v>0.44634621183294393</c:v>
                </c:pt>
                <c:pt idx="23">
                  <c:v>0.45114274370433943</c:v>
                </c:pt>
                <c:pt idx="24">
                  <c:v>0.45566383212026557</c:v>
                </c:pt>
                <c:pt idx="25">
                  <c:v>0.45989098761689678</c:v>
                </c:pt>
                <c:pt idx="26">
                  <c:v>0.4638421905138328</c:v>
                </c:pt>
                <c:pt idx="27">
                  <c:v>0.46750052247272078</c:v>
                </c:pt>
                <c:pt idx="28">
                  <c:v>0.47088299173383091</c:v>
                </c:pt>
                <c:pt idx="29">
                  <c:v>0.47397551661338005</c:v>
                </c:pt>
                <c:pt idx="30">
                  <c:v>0.47679527061188465</c:v>
                </c:pt>
                <c:pt idx="31">
                  <c:v>0.47933047164580778</c:v>
                </c:pt>
                <c:pt idx="32">
                  <c:v>0.48159792201156248</c:v>
                </c:pt>
                <c:pt idx="33">
                  <c:v>0.48358674294117637</c:v>
                </c:pt>
                <c:pt idx="34">
                  <c:v>0.4853125580233465</c:v>
                </c:pt>
                <c:pt idx="35">
                  <c:v>0.48676437072930728</c:v>
                </c:pt>
                <c:pt idx="36">
                  <c:v>0.48795638198527969</c:v>
                </c:pt>
                <c:pt idx="37">
                  <c:v>0.48887713572038455</c:v>
                </c:pt>
                <c:pt idx="38">
                  <c:v>0.48953968873492842</c:v>
                </c:pt>
                <c:pt idx="39">
                  <c:v>0.48993220204332144</c:v>
                </c:pt>
                <c:pt idx="40">
                  <c:v>0.49006706580684323</c:v>
                </c:pt>
              </c:numCache>
            </c:numRef>
          </c:val>
          <c:extLst>
            <c:ext xmlns:c16="http://schemas.microsoft.com/office/drawing/2014/chart" uri="{C3380CC4-5D6E-409C-BE32-E72D297353CC}">
              <c16:uniqueId val="{0000002E-C793-41C2-B036-5A15B329E20B}"/>
            </c:ext>
          </c:extLst>
        </c:ser>
        <c:ser>
          <c:idx val="38"/>
          <c:order val="38"/>
          <c:tx>
            <c:strRef>
              <c:f>Data!$M$85</c:f>
              <c:strCache>
                <c:ptCount val="1"/>
                <c:pt idx="0">
                  <c:v>39</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Data!$N$85:$BB$85</c:f>
              <c:numCache>
                <c:formatCode>0.000</c:formatCode>
                <c:ptCount val="41"/>
                <c:pt idx="0">
                  <c:v>8.0978096917489223E-2</c:v>
                </c:pt>
                <c:pt idx="1">
                  <c:v>0.12511443780162496</c:v>
                </c:pt>
                <c:pt idx="2">
                  <c:v>0.18600591012567652</c:v>
                </c:pt>
                <c:pt idx="3">
                  <c:v>0.22619135181813935</c:v>
                </c:pt>
                <c:pt idx="4">
                  <c:v>0.25509658111031752</c:v>
                </c:pt>
                <c:pt idx="5">
                  <c:v>0.27753308966737289</c:v>
                </c:pt>
                <c:pt idx="6">
                  <c:v>0.2962243270134382</c:v>
                </c:pt>
                <c:pt idx="7">
                  <c:v>0.31204116092768425</c:v>
                </c:pt>
                <c:pt idx="8">
                  <c:v>0.32595551939402873</c:v>
                </c:pt>
                <c:pt idx="9">
                  <c:v>0.33823537098322337</c:v>
                </c:pt>
                <c:pt idx="10">
                  <c:v>0.34935967039244437</c:v>
                </c:pt>
                <c:pt idx="11">
                  <c:v>0.3594316575703525</c:v>
                </c:pt>
                <c:pt idx="12">
                  <c:v>0.368732721688803</c:v>
                </c:pt>
                <c:pt idx="13">
                  <c:v>0.37730503761904338</c:v>
                </c:pt>
                <c:pt idx="14">
                  <c:v>0.38533074548440716</c:v>
                </c:pt>
                <c:pt idx="15">
                  <c:v>0.39282230004810825</c:v>
                </c:pt>
                <c:pt idx="16">
                  <c:v>0.3999028344078554</c:v>
                </c:pt>
                <c:pt idx="17">
                  <c:v>0.40656667920924994</c:v>
                </c:pt>
                <c:pt idx="18">
                  <c:v>0.4128982451766644</c:v>
                </c:pt>
                <c:pt idx="19">
                  <c:v>0.41887999633732809</c:v>
                </c:pt>
                <c:pt idx="20">
                  <c:v>0.42457032749865159</c:v>
                </c:pt>
                <c:pt idx="21">
                  <c:v>0.42994462671128175</c:v>
                </c:pt>
                <c:pt idx="22">
                  <c:v>0.43504435388274992</c:v>
                </c:pt>
                <c:pt idx="23">
                  <c:v>0.43984180173427401</c:v>
                </c:pt>
                <c:pt idx="24">
                  <c:v>0.444368242309433</c:v>
                </c:pt>
                <c:pt idx="25">
                  <c:v>0.44859609471436707</c:v>
                </c:pt>
                <c:pt idx="26">
                  <c:v>0.4525515273142523</c:v>
                </c:pt>
                <c:pt idx="27">
                  <c:v>0.45620955968657911</c:v>
                </c:pt>
                <c:pt idx="28">
                  <c:v>0.4595947614831391</c:v>
                </c:pt>
                <c:pt idx="29">
                  <c:v>0.46268585933354484</c:v>
                </c:pt>
                <c:pt idx="30">
                  <c:v>0.46550713321907494</c:v>
                </c:pt>
                <c:pt idx="31">
                  <c:v>0.46804023235362174</c:v>
                </c:pt>
                <c:pt idx="32">
                  <c:v>0.47030862460129436</c:v>
                </c:pt>
                <c:pt idx="33">
                  <c:v>0.47229523283507363</c:v>
                </c:pt>
                <c:pt idx="34">
                  <c:v>0.47402193376327101</c:v>
                </c:pt>
                <c:pt idx="35">
                  <c:v>0.47547175248882101</c:v>
                </c:pt>
                <c:pt idx="36">
                  <c:v>0.47666482581219549</c:v>
                </c:pt>
                <c:pt idx="37">
                  <c:v>0.47758386685913845</c:v>
                </c:pt>
                <c:pt idx="38">
                  <c:v>0.47824767130543605</c:v>
                </c:pt>
                <c:pt idx="39">
                  <c:v>0.47863867428890827</c:v>
                </c:pt>
                <c:pt idx="40">
                  <c:v>0.47877492139139061</c:v>
                </c:pt>
              </c:numCache>
            </c:numRef>
          </c:val>
          <c:extLst>
            <c:ext xmlns:c16="http://schemas.microsoft.com/office/drawing/2014/chart" uri="{C3380CC4-5D6E-409C-BE32-E72D297353CC}">
              <c16:uniqueId val="{0000002F-C793-41C2-B036-5A15B329E20B}"/>
            </c:ext>
          </c:extLst>
        </c:ser>
        <c:ser>
          <c:idx val="39"/>
          <c:order val="39"/>
          <c:tx>
            <c:strRef>
              <c:f>Data!$M$86</c:f>
              <c:strCache>
                <c:ptCount val="1"/>
                <c:pt idx="0">
                  <c:v>40</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Data!$N$86:$BB$86</c:f>
              <c:numCache>
                <c:formatCode>0.000</c:formatCode>
                <c:ptCount val="41"/>
                <c:pt idx="0">
                  <c:v>4.3473041758809998E-2</c:v>
                </c:pt>
                <c:pt idx="1">
                  <c:v>0.101908684804562</c:v>
                </c:pt>
                <c:pt idx="2">
                  <c:v>0.17242990285436649</c:v>
                </c:pt>
                <c:pt idx="3">
                  <c:v>0.21405972725479894</c:v>
                </c:pt>
                <c:pt idx="4">
                  <c:v>0.24345164676076528</c:v>
                </c:pt>
                <c:pt idx="5">
                  <c:v>0.26606392009184082</c:v>
                </c:pt>
                <c:pt idx="6">
                  <c:v>0.28490760389420827</c:v>
                </c:pt>
                <c:pt idx="7">
                  <c:v>0.30077954574484628</c:v>
                </c:pt>
                <c:pt idx="8">
                  <c:v>0.31476066193826308</c:v>
                </c:pt>
                <c:pt idx="9">
                  <c:v>0.32705838337421911</c:v>
                </c:pt>
                <c:pt idx="10">
                  <c:v>0.33821314985832712</c:v>
                </c:pt>
                <c:pt idx="11">
                  <c:v>0.34828638232745612</c:v>
                </c:pt>
                <c:pt idx="12">
                  <c:v>0.35760017535545308</c:v>
                </c:pt>
                <c:pt idx="13">
                  <c:v>0.36616668580422268</c:v>
                </c:pt>
                <c:pt idx="14">
                  <c:v>0.37419735413139621</c:v>
                </c:pt>
                <c:pt idx="15">
                  <c:v>0.38168179492130955</c:v>
                </c:pt>
                <c:pt idx="16">
                  <c:v>0.3887652622560579</c:v>
                </c:pt>
                <c:pt idx="17">
                  <c:v>0.39542374564657079</c:v>
                </c:pt>
                <c:pt idx="18">
                  <c:v>0.40175894667894818</c:v>
                </c:pt>
                <c:pt idx="19">
                  <c:v>0.4077380134609459</c:v>
                </c:pt>
                <c:pt idx="20">
                  <c:v>0.41343332195093946</c:v>
                </c:pt>
                <c:pt idx="21">
                  <c:v>0.41880715104869193</c:v>
                </c:pt>
                <c:pt idx="22">
                  <c:v>0.42391266386067333</c:v>
                </c:pt>
                <c:pt idx="23">
                  <c:v>0.42871074376332724</c:v>
                </c:pt>
                <c:pt idx="24">
                  <c:v>0.43324278391533594</c:v>
                </c:pt>
                <c:pt idx="25">
                  <c:v>0.43747114454787994</c:v>
                </c:pt>
                <c:pt idx="26">
                  <c:v>0.44143103728837302</c:v>
                </c:pt>
                <c:pt idx="27">
                  <c:v>0.44508856082298581</c:v>
                </c:pt>
                <c:pt idx="28">
                  <c:v>0.44847664192157394</c:v>
                </c:pt>
                <c:pt idx="29">
                  <c:v>0.45156605000413375</c:v>
                </c:pt>
                <c:pt idx="30">
                  <c:v>0.45438892246464679</c:v>
                </c:pt>
                <c:pt idx="31">
                  <c:v>0.45691964093393511</c:v>
                </c:pt>
                <c:pt idx="32">
                  <c:v>0.45918903980360526</c:v>
                </c:pt>
                <c:pt idx="33">
                  <c:v>0.46117318419994718</c:v>
                </c:pt>
                <c:pt idx="34">
                  <c:v>0.46290085842127943</c:v>
                </c:pt>
                <c:pt idx="35">
                  <c:v>0.46434847489380898</c:v>
                </c:pt>
                <c:pt idx="36">
                  <c:v>0.46554272810961089</c:v>
                </c:pt>
                <c:pt idx="37">
                  <c:v>0.46645988282875467</c:v>
                </c:pt>
                <c:pt idx="38">
                  <c:v>0.46712507758828464</c:v>
                </c:pt>
                <c:pt idx="39">
                  <c:v>0.46751441467623717</c:v>
                </c:pt>
                <c:pt idx="40">
                  <c:v>0.46765219328061874</c:v>
                </c:pt>
              </c:numCache>
            </c:numRef>
          </c:val>
          <c:extLst>
            <c:ext xmlns:c16="http://schemas.microsoft.com/office/drawing/2014/chart" uri="{C3380CC4-5D6E-409C-BE32-E72D297353CC}">
              <c16:uniqueId val="{00000030-C793-41C2-B036-5A15B329E20B}"/>
            </c:ext>
          </c:extLst>
        </c:ser>
        <c:ser>
          <c:idx val="40"/>
          <c:order val="40"/>
          <c:tx>
            <c:strRef>
              <c:f>Data!$M$87</c:f>
              <c:strCache>
                <c:ptCount val="1"/>
                <c:pt idx="0">
                  <c:v>41</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Data!$N$87:$BB$87</c:f>
              <c:numCache>
                <c:formatCode>0.000</c:formatCode>
                <c:ptCount val="41"/>
                <c:pt idx="0">
                  <c:v>0</c:v>
                </c:pt>
                <c:pt idx="1">
                  <c:v>7.9065904657054278E-2</c:v>
                </c:pt>
                <c:pt idx="2">
                  <c:v>0.160219383215289</c:v>
                </c:pt>
                <c:pt idx="3">
                  <c:v>0.20254264413783712</c:v>
                </c:pt>
                <c:pt idx="4">
                  <c:v>0.2321913180962745</c:v>
                </c:pt>
                <c:pt idx="5">
                  <c:v>0.25490522069580696</c:v>
                </c:pt>
                <c:pt idx="6">
                  <c:v>0.27384093075543792</c:v>
                </c:pt>
                <c:pt idx="7">
                  <c:v>0.28974885206220458</c:v>
                </c:pt>
                <c:pt idx="8">
                  <c:v>0.3037707611152215</c:v>
                </c:pt>
                <c:pt idx="9">
                  <c:v>0.31607945791740921</c:v>
                </c:pt>
                <c:pt idx="10">
                  <c:v>0.32725056852856382</c:v>
                </c:pt>
                <c:pt idx="11">
                  <c:v>0.33732214228194712</c:v>
                </c:pt>
                <c:pt idx="12">
                  <c:v>0.34663989576947013</c:v>
                </c:pt>
                <c:pt idx="13">
                  <c:v>0.35519941683796918</c:v>
                </c:pt>
                <c:pt idx="14">
                  <c:v>0.36322923671725099</c:v>
                </c:pt>
                <c:pt idx="15">
                  <c:v>0.37070634685031395</c:v>
                </c:pt>
                <c:pt idx="16">
                  <c:v>0.37778881668107561</c:v>
                </c:pt>
                <c:pt idx="17">
                  <c:v>0.38444235293787143</c:v>
                </c:pt>
                <c:pt idx="18">
                  <c:v>0.39077851921463008</c:v>
                </c:pt>
                <c:pt idx="19">
                  <c:v>0.39675571872808874</c:v>
                </c:pt>
                <c:pt idx="20">
                  <c:v>0.40245416979500392</c:v>
                </c:pt>
                <c:pt idx="21">
                  <c:v>0.40782856093691439</c:v>
                </c:pt>
                <c:pt idx="22">
                  <c:v>0.41293854578281958</c:v>
                </c:pt>
                <c:pt idx="23">
                  <c:v>0.41773835226204448</c:v>
                </c:pt>
                <c:pt idx="24">
                  <c:v>0.42227496515643526</c:v>
                </c:pt>
                <c:pt idx="25">
                  <c:v>0.42650486810991756</c:v>
                </c:pt>
                <c:pt idx="26">
                  <c:v>0.43046830469198227</c:v>
                </c:pt>
                <c:pt idx="27">
                  <c:v>0.43412620927314066</c:v>
                </c:pt>
                <c:pt idx="28">
                  <c:v>0.43751626269608263</c:v>
                </c:pt>
                <c:pt idx="29">
                  <c:v>0.44060472235056547</c:v>
                </c:pt>
                <c:pt idx="30">
                  <c:v>0.44342829076066098</c:v>
                </c:pt>
                <c:pt idx="31">
                  <c:v>0.44595728662901751</c:v>
                </c:pt>
                <c:pt idx="32">
                  <c:v>0.448226834490704</c:v>
                </c:pt>
                <c:pt idx="33">
                  <c:v>0.45020915442198728</c:v>
                </c:pt>
                <c:pt idx="34">
                  <c:v>0.45193701252318835</c:v>
                </c:pt>
                <c:pt idx="35">
                  <c:v>0.45338307643116749</c:v>
                </c:pt>
                <c:pt idx="36">
                  <c:v>0.45457778247255975</c:v>
                </c:pt>
                <c:pt idx="37">
                  <c:v>0.45549371279594564</c:v>
                </c:pt>
                <c:pt idx="38">
                  <c:v>0.45615961100696667</c:v>
                </c:pt>
                <c:pt idx="39">
                  <c:v>0.45654794891976674</c:v>
                </c:pt>
                <c:pt idx="40">
                  <c:v>0.45668658853702887</c:v>
                </c:pt>
              </c:numCache>
            </c:numRef>
          </c:val>
          <c:extLst>
            <c:ext xmlns:c16="http://schemas.microsoft.com/office/drawing/2014/chart" uri="{C3380CC4-5D6E-409C-BE32-E72D297353CC}">
              <c16:uniqueId val="{00000031-C793-41C2-B036-5A15B329E20B}"/>
            </c:ext>
          </c:extLst>
        </c:ser>
        <c:bandFmts>
          <c:bandFmt>
            <c:idx val="0"/>
            <c:spPr>
              <a:solidFill>
                <a:srgbClr val="48722C"/>
              </a:solidFill>
              <a:effectLst/>
              <a:sp3d prstMaterial="flat"/>
            </c:spPr>
          </c:bandFmt>
          <c:bandFmt>
            <c:idx val="1"/>
            <c:spPr>
              <a:solidFill>
                <a:srgbClr val="528132"/>
              </a:solidFill>
              <a:effectLst/>
              <a:sp3d prstMaterial="flat"/>
            </c:spPr>
          </c:bandFmt>
          <c:bandFmt>
            <c:idx val="2"/>
            <c:spPr>
              <a:solidFill>
                <a:srgbClr val="5A8D38"/>
              </a:solidFill>
              <a:effectLst/>
              <a:sp3d prstMaterial="flat"/>
            </c:spPr>
          </c:bandFmt>
          <c:bandFmt>
            <c:idx val="3"/>
            <c:spPr>
              <a:solidFill>
                <a:srgbClr val="62973E"/>
              </a:solidFill>
              <a:effectLst/>
              <a:sp3d prstMaterial="flat"/>
            </c:spPr>
          </c:bandFmt>
          <c:bandFmt>
            <c:idx val="4"/>
            <c:spPr>
              <a:solidFill>
                <a:srgbClr val="68A142"/>
              </a:solidFill>
              <a:effectLst/>
              <a:sp3d prstMaterial="flat"/>
            </c:spPr>
          </c:bandFmt>
          <c:bandFmt>
            <c:idx val="5"/>
            <c:spPr>
              <a:solidFill>
                <a:srgbClr val="70AB46"/>
              </a:solidFill>
              <a:effectLst/>
              <a:sp3d prstMaterial="flat"/>
            </c:spPr>
          </c:bandFmt>
          <c:bandFmt>
            <c:idx val="6"/>
            <c:spPr>
              <a:solidFill>
                <a:srgbClr val="89B770"/>
              </a:solidFill>
              <a:effectLst/>
              <a:sp3d prstMaterial="flat"/>
            </c:spPr>
          </c:bandFmt>
          <c:bandFmt>
            <c:idx val="7"/>
            <c:spPr>
              <a:solidFill>
                <a:srgbClr val="9FC38F"/>
              </a:solidFill>
              <a:effectLst/>
              <a:sp3d prstMaterial="flat"/>
            </c:spPr>
          </c:bandFmt>
          <c:bandFmt>
            <c:idx val="8"/>
            <c:spPr>
              <a:solidFill>
                <a:srgbClr val="B3CDA7"/>
              </a:solidFill>
              <a:effectLst/>
              <a:sp3d prstMaterial="flat"/>
            </c:spPr>
          </c:bandFmt>
          <c:bandFmt>
            <c:idx val="9"/>
            <c:spPr>
              <a:solidFill>
                <a:srgbClr val="C1D7B9"/>
              </a:solidFill>
              <a:effectLst/>
              <a:sp3d prstMaterial="flat"/>
            </c:spPr>
          </c:bandFmt>
        </c:bandFmts>
        <c:axId val="2144952520"/>
        <c:axId val="-2128765832"/>
        <c:axId val="-2130091960"/>
      </c:surface3DChart>
      <c:catAx>
        <c:axId val="2144952520"/>
        <c:scaling>
          <c:orientation val="minMax"/>
        </c:scaling>
        <c:delete val="1"/>
        <c:axPos val="b"/>
        <c:numFmt formatCode="0" sourceLinked="1"/>
        <c:majorTickMark val="out"/>
        <c:minorTickMark val="none"/>
        <c:tickLblPos val="nextTo"/>
        <c:crossAx val="-2128765832"/>
        <c:crosses val="autoZero"/>
        <c:auto val="1"/>
        <c:lblAlgn val="ctr"/>
        <c:lblOffset val="100"/>
        <c:noMultiLvlLbl val="0"/>
      </c:catAx>
      <c:valAx>
        <c:axId val="-2128765832"/>
        <c:scaling>
          <c:orientation val="minMax"/>
          <c:max val="1"/>
          <c:min val="0"/>
        </c:scaling>
        <c:delete val="0"/>
        <c:axPos val="l"/>
        <c:numFmt formatCode="0.000" sourceLinked="1"/>
        <c:majorTickMark val="none"/>
        <c:minorTickMark val="none"/>
        <c:tickLblPos val="none"/>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144952520"/>
        <c:crosses val="autoZero"/>
        <c:crossBetween val="midCat"/>
        <c:majorUnit val="0.1"/>
      </c:valAx>
      <c:serAx>
        <c:axId val="-2130091960"/>
        <c:scaling>
          <c:orientation val="minMax"/>
        </c:scaling>
        <c:delete val="1"/>
        <c:axPos val="b"/>
        <c:majorTickMark val="out"/>
        <c:minorTickMark val="none"/>
        <c:tickLblPos val="nextTo"/>
        <c:crossAx val="-2128765832"/>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Illumination!$B$16</c:f>
              <c:strCache>
                <c:ptCount val="1"/>
                <c:pt idx="0">
                  <c:v>W/m2</c:v>
                </c:pt>
              </c:strCache>
            </c:strRef>
          </c:tx>
          <c:spPr>
            <a:solidFill>
              <a:srgbClr val="0070C0"/>
            </a:solidFill>
            <a:ln>
              <a:noFill/>
            </a:ln>
            <a:effectLst/>
          </c:spPr>
          <c:invertIfNegative val="0"/>
          <c:cat>
            <c:numRef>
              <c:f>Illumination!$A$17:$A$76</c:f>
              <c:numCache>
                <c:formatCode>General</c:formatCode>
                <c:ptCount val="60"/>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cat>
          <c:val>
            <c:numRef>
              <c:f>Illumination!$B$17:$B$76</c:f>
              <c:numCache>
                <c:formatCode>0.000</c:formatCode>
                <c:ptCount val="60"/>
                <c:pt idx="0">
                  <c:v>0.72</c:v>
                </c:pt>
                <c:pt idx="1">
                  <c:v>2.0979999999999999</c:v>
                </c:pt>
                <c:pt idx="2">
                  <c:v>4.1369999999999996</c:v>
                </c:pt>
                <c:pt idx="3">
                  <c:v>4.54</c:v>
                </c:pt>
                <c:pt idx="4">
                  <c:v>7.8</c:v>
                </c:pt>
                <c:pt idx="5">
                  <c:v>13.24</c:v>
                </c:pt>
                <c:pt idx="6">
                  <c:v>14.554</c:v>
                </c:pt>
                <c:pt idx="7">
                  <c:v>23.596</c:v>
                </c:pt>
                <c:pt idx="8">
                  <c:v>23.963999999999999</c:v>
                </c:pt>
                <c:pt idx="9">
                  <c:v>29.922000000000001</c:v>
                </c:pt>
                <c:pt idx="10">
                  <c:v>31.471</c:v>
                </c:pt>
                <c:pt idx="11">
                  <c:v>30.971</c:v>
                </c:pt>
                <c:pt idx="12">
                  <c:v>30.34</c:v>
                </c:pt>
                <c:pt idx="13">
                  <c:v>30.786000000000001</c:v>
                </c:pt>
                <c:pt idx="14">
                  <c:v>46.055</c:v>
                </c:pt>
                <c:pt idx="15">
                  <c:v>59.070999999999998</c:v>
                </c:pt>
                <c:pt idx="16">
                  <c:v>57.249000000000002</c:v>
                </c:pt>
                <c:pt idx="17">
                  <c:v>54.423999999999999</c:v>
                </c:pt>
                <c:pt idx="18">
                  <c:v>37.317999999999998</c:v>
                </c:pt>
                <c:pt idx="19">
                  <c:v>22.895</c:v>
                </c:pt>
                <c:pt idx="20">
                  <c:v>23.689</c:v>
                </c:pt>
                <c:pt idx="21">
                  <c:v>19.434999999999999</c:v>
                </c:pt>
                <c:pt idx="22">
                  <c:v>22.38</c:v>
                </c:pt>
                <c:pt idx="23">
                  <c:v>19.899000000000001</c:v>
                </c:pt>
                <c:pt idx="24">
                  <c:v>23.96</c:v>
                </c:pt>
                <c:pt idx="25">
                  <c:v>33.649000000000001</c:v>
                </c:pt>
                <c:pt idx="26">
                  <c:v>23.914999999999999</c:v>
                </c:pt>
                <c:pt idx="27">
                  <c:v>13.4</c:v>
                </c:pt>
                <c:pt idx="28">
                  <c:v>5.9450000000000003</c:v>
                </c:pt>
                <c:pt idx="29">
                  <c:v>12.295999999999999</c:v>
                </c:pt>
                <c:pt idx="30">
                  <c:v>39.5</c:v>
                </c:pt>
                <c:pt idx="31">
                  <c:v>45.457000000000001</c:v>
                </c:pt>
                <c:pt idx="32">
                  <c:v>5.609</c:v>
                </c:pt>
                <c:pt idx="33">
                  <c:v>6.4459999999999997</c:v>
                </c:pt>
                <c:pt idx="34">
                  <c:v>17.074000000000002</c:v>
                </c:pt>
                <c:pt idx="35">
                  <c:v>22.693000000000001</c:v>
                </c:pt>
                <c:pt idx="36">
                  <c:v>27.044</c:v>
                </c:pt>
                <c:pt idx="37">
                  <c:v>5.1020000000000003</c:v>
                </c:pt>
                <c:pt idx="38">
                  <c:v>7.0750000000000002</c:v>
                </c:pt>
                <c:pt idx="39">
                  <c:v>15.49</c:v>
                </c:pt>
                <c:pt idx="40">
                  <c:v>8.718</c:v>
                </c:pt>
                <c:pt idx="41">
                  <c:v>7.0670000000000002</c:v>
                </c:pt>
                <c:pt idx="42">
                  <c:v>14.372</c:v>
                </c:pt>
                <c:pt idx="43">
                  <c:v>16.759</c:v>
                </c:pt>
                <c:pt idx="44">
                  <c:v>0.14899999999999999</c:v>
                </c:pt>
                <c:pt idx="45">
                  <c:v>1.452</c:v>
                </c:pt>
                <c:pt idx="46">
                  <c:v>2.875</c:v>
                </c:pt>
                <c:pt idx="47">
                  <c:v>6.0549999999999997</c:v>
                </c:pt>
                <c:pt idx="48">
                  <c:v>8.3670000000000009</c:v>
                </c:pt>
                <c:pt idx="49">
                  <c:v>9.8369999999999997</c:v>
                </c:pt>
                <c:pt idx="50">
                  <c:v>3.6819999999999999</c:v>
                </c:pt>
                <c:pt idx="51">
                  <c:v>5.8000000000000003E-2</c:v>
                </c:pt>
                <c:pt idx="52">
                  <c:v>0.47799999999999998</c:v>
                </c:pt>
                <c:pt idx="53">
                  <c:v>0.27600000000000002</c:v>
                </c:pt>
                <c:pt idx="54">
                  <c:v>0.61099999999999999</c:v>
                </c:pt>
                <c:pt idx="55">
                  <c:v>0.307</c:v>
                </c:pt>
                <c:pt idx="56">
                  <c:v>0.64400000000000002</c:v>
                </c:pt>
                <c:pt idx="57">
                  <c:v>1.5</c:v>
                </c:pt>
                <c:pt idx="58" formatCode="General">
                  <c:v>1.5840000000000001</c:v>
                </c:pt>
              </c:numCache>
            </c:numRef>
          </c:val>
          <c:extLst>
            <c:ext xmlns:c16="http://schemas.microsoft.com/office/drawing/2014/chart" uri="{C3380CC4-5D6E-409C-BE32-E72D297353CC}">
              <c16:uniqueId val="{00000000-0498-4973-B2C7-2FA4B7FDF142}"/>
            </c:ext>
          </c:extLst>
        </c:ser>
        <c:dLbls>
          <c:showLegendKey val="0"/>
          <c:showVal val="0"/>
          <c:showCatName val="0"/>
          <c:showSerName val="0"/>
          <c:showPercent val="0"/>
          <c:showBubbleSize val="0"/>
        </c:dLbls>
        <c:gapWidth val="500"/>
        <c:axId val="2139070328"/>
        <c:axId val="2028079176"/>
      </c:barChart>
      <c:lineChart>
        <c:grouping val="standard"/>
        <c:varyColors val="0"/>
        <c:ser>
          <c:idx val="1"/>
          <c:order val="1"/>
          <c:tx>
            <c:strRef>
              <c:f>Illumination!$D$16</c:f>
              <c:strCache>
                <c:ptCount val="1"/>
                <c:pt idx="0">
                  <c:v>%</c:v>
                </c:pt>
              </c:strCache>
            </c:strRef>
          </c:tx>
          <c:spPr>
            <a:ln w="28575" cap="rnd">
              <a:solidFill>
                <a:srgbClr val="FFC000"/>
              </a:solidFill>
              <a:round/>
            </a:ln>
            <a:effectLst/>
          </c:spPr>
          <c:marker>
            <c:symbol val="none"/>
          </c:marker>
          <c:val>
            <c:numRef>
              <c:f>Illumination!$D$17:$D$76</c:f>
              <c:numCache>
                <c:formatCode>0.0</c:formatCode>
                <c:ptCount val="6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numCache>
            </c:numRef>
          </c:val>
          <c:smooth val="1"/>
          <c:extLst>
            <c:ext xmlns:c16="http://schemas.microsoft.com/office/drawing/2014/chart" uri="{C3380CC4-5D6E-409C-BE32-E72D297353CC}">
              <c16:uniqueId val="{00000001-0498-4973-B2C7-2FA4B7FDF142}"/>
            </c:ext>
          </c:extLst>
        </c:ser>
        <c:dLbls>
          <c:showLegendKey val="0"/>
          <c:showVal val="0"/>
          <c:showCatName val="0"/>
          <c:showSerName val="0"/>
          <c:showPercent val="0"/>
          <c:showBubbleSize val="0"/>
        </c:dLbls>
        <c:marker val="1"/>
        <c:smooth val="0"/>
        <c:axId val="2131549896"/>
        <c:axId val="2138082024"/>
      </c:lineChart>
      <c:catAx>
        <c:axId val="2139070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079176"/>
        <c:crosses val="autoZero"/>
        <c:auto val="0"/>
        <c:lblAlgn val="ctr"/>
        <c:lblOffset val="100"/>
        <c:noMultiLvlLbl val="0"/>
      </c:catAx>
      <c:valAx>
        <c:axId val="2028079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Density (W/m2)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070328"/>
        <c:crosses val="autoZero"/>
        <c:crossBetween val="between"/>
      </c:valAx>
      <c:valAx>
        <c:axId val="2138082024"/>
        <c:scaling>
          <c:orientation val="minMax"/>
          <c:max val="100"/>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549896"/>
        <c:crosses val="max"/>
        <c:crossBetween val="between"/>
      </c:valAx>
      <c:catAx>
        <c:axId val="2131549896"/>
        <c:scaling>
          <c:orientation val="minMax"/>
        </c:scaling>
        <c:delete val="1"/>
        <c:axPos val="b"/>
        <c:majorTickMark val="out"/>
        <c:minorTickMark val="none"/>
        <c:tickLblPos val="nextTo"/>
        <c:crossAx val="21380820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Illumination!$C$16</c:f>
              <c:strCache>
                <c:ptCount val="1"/>
                <c:pt idx="0">
                  <c:v>cm-1</c:v>
                </c:pt>
              </c:strCache>
            </c:strRef>
          </c:tx>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Illumination!$A$17:$A$76</c:f>
              <c:numCache>
                <c:formatCode>General</c:formatCode>
                <c:ptCount val="60"/>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xVal>
          <c:yVal>
            <c:numRef>
              <c:f>Illumination!$C$17:$C$76</c:f>
              <c:numCache>
                <c:formatCode>0.00E+00</c:formatCode>
                <c:ptCount val="60"/>
                <c:pt idx="0">
                  <c:v>1440000</c:v>
                </c:pt>
                <c:pt idx="1">
                  <c:v>1280000</c:v>
                </c:pt>
                <c:pt idx="2">
                  <c:v>1170000</c:v>
                </c:pt>
                <c:pt idx="3">
                  <c:v>1090000</c:v>
                </c:pt>
                <c:pt idx="4">
                  <c:v>1040000</c:v>
                </c:pt>
                <c:pt idx="5">
                  <c:v>697000</c:v>
                </c:pt>
                <c:pt idx="6">
                  <c:v>150000</c:v>
                </c:pt>
                <c:pt idx="7">
                  <c:v>67400</c:v>
                </c:pt>
                <c:pt idx="8">
                  <c:v>39200</c:v>
                </c:pt>
                <c:pt idx="9">
                  <c:v>25500</c:v>
                </c:pt>
                <c:pt idx="10">
                  <c:v>17200</c:v>
                </c:pt>
                <c:pt idx="11">
                  <c:v>12700</c:v>
                </c:pt>
                <c:pt idx="12">
                  <c:v>9700</c:v>
                </c:pt>
                <c:pt idx="13">
                  <c:v>7850</c:v>
                </c:pt>
                <c:pt idx="14">
                  <c:v>6390</c:v>
                </c:pt>
                <c:pt idx="15">
                  <c:v>4490</c:v>
                </c:pt>
                <c:pt idx="16">
                  <c:v>3270</c:v>
                </c:pt>
                <c:pt idx="17">
                  <c:v>2390</c:v>
                </c:pt>
                <c:pt idx="18">
                  <c:v>1780</c:v>
                </c:pt>
                <c:pt idx="19">
                  <c:v>1540</c:v>
                </c:pt>
                <c:pt idx="20">
                  <c:v>1300</c:v>
                </c:pt>
                <c:pt idx="21">
                  <c:v>1100</c:v>
                </c:pt>
                <c:pt idx="22">
                  <c:v>927</c:v>
                </c:pt>
                <c:pt idx="23">
                  <c:v>707</c:v>
                </c:pt>
                <c:pt idx="24">
                  <c:v>646</c:v>
                </c:pt>
                <c:pt idx="25">
                  <c:v>480</c:v>
                </c:pt>
                <c:pt idx="26">
                  <c:v>306</c:v>
                </c:pt>
                <c:pt idx="27">
                  <c:v>200</c:v>
                </c:pt>
                <c:pt idx="28">
                  <c:v>183</c:v>
                </c:pt>
                <c:pt idx="29">
                  <c:v>134</c:v>
                </c:pt>
                <c:pt idx="30">
                  <c:v>79.2</c:v>
                </c:pt>
                <c:pt idx="31">
                  <c:v>8</c:v>
                </c:pt>
                <c:pt idx="32">
                  <c:v>2</c:v>
                </c:pt>
                <c:pt idx="33">
                  <c:v>1</c:v>
                </c:pt>
                <c:pt idx="34">
                  <c:v>6.5000000000000002E-2</c:v>
                </c:pt>
                <c:pt idx="35">
                  <c:v>8.2000000000000007E-3</c:v>
                </c:pt>
                <c:pt idx="36">
                  <c:v>1.2E-4</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numCache>
            </c:numRef>
          </c:yVal>
          <c:smooth val="1"/>
          <c:extLst>
            <c:ext xmlns:c16="http://schemas.microsoft.com/office/drawing/2014/chart" uri="{C3380CC4-5D6E-409C-BE32-E72D297353CC}">
              <c16:uniqueId val="{00000000-EDBB-42AA-8A53-56B33ADB233B}"/>
            </c:ext>
          </c:extLst>
        </c:ser>
        <c:dLbls>
          <c:showLegendKey val="0"/>
          <c:showVal val="0"/>
          <c:showCatName val="0"/>
          <c:showSerName val="0"/>
          <c:showPercent val="0"/>
          <c:showBubbleSize val="0"/>
        </c:dLbls>
        <c:axId val="2135735992"/>
        <c:axId val="-2129917272"/>
      </c:scatterChart>
      <c:valAx>
        <c:axId val="2135735992"/>
        <c:scaling>
          <c:orientation val="minMax"/>
          <c:max val="1300"/>
          <c:min val="3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Wavelength in Air (nm)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917272"/>
        <c:crossesAt val="1E-3"/>
        <c:crossBetween val="midCat"/>
      </c:valAx>
      <c:valAx>
        <c:axId val="-2129917272"/>
        <c:scaling>
          <c:logBase val="10"/>
          <c:orientation val="minMax"/>
          <c:min val="1E-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Absorption Coefficient (cm-1)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7359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Front Illumination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Data!$B$57</c:f>
              <c:strCache>
                <c:ptCount val="1"/>
                <c:pt idx="0">
                  <c:v>Front</c:v>
                </c:pt>
              </c:strCache>
            </c:strRef>
          </c:tx>
          <c:spPr>
            <a:ln w="25400" cap="rnd">
              <a:noFill/>
              <a:round/>
            </a:ln>
            <a:effectLst/>
          </c:spPr>
          <c:marker>
            <c:symbol val="circle"/>
            <c:size val="5"/>
            <c:spPr>
              <a:solidFill>
                <a:schemeClr val="accent4"/>
              </a:solidFill>
              <a:ln w="9525">
                <a:noFill/>
              </a:ln>
              <a:effectLst/>
            </c:spPr>
          </c:marker>
          <c:xVal>
            <c:numRef>
              <c:f>Data!$A$58:$A$98</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xVal>
          <c:yVal>
            <c:numRef>
              <c:f>Data!$B$58:$B$98</c:f>
              <c:numCache>
                <c:formatCode>0.000</c:formatCode>
                <c:ptCount val="41"/>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numCache>
            </c:numRef>
          </c:yVal>
          <c:smooth val="0"/>
          <c:extLst>
            <c:ext xmlns:c16="http://schemas.microsoft.com/office/drawing/2014/chart" uri="{C3380CC4-5D6E-409C-BE32-E72D297353CC}">
              <c16:uniqueId val="{00000000-33C9-487D-BE4A-F24FC71C6AD6}"/>
            </c:ext>
          </c:extLst>
        </c:ser>
        <c:dLbls>
          <c:showLegendKey val="0"/>
          <c:showVal val="0"/>
          <c:showCatName val="0"/>
          <c:showSerName val="0"/>
          <c:showPercent val="0"/>
          <c:showBubbleSize val="0"/>
        </c:dLbls>
        <c:axId val="2136815272"/>
        <c:axId val="2139127240"/>
      </c:scatterChart>
      <c:valAx>
        <c:axId val="2136815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127240"/>
        <c:crosses val="autoZero"/>
        <c:crossBetween val="midCat"/>
      </c:valAx>
      <c:valAx>
        <c:axId val="21391272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8152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Rear Illumination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Data!$C$57</c:f>
              <c:strCache>
                <c:ptCount val="1"/>
                <c:pt idx="0">
                  <c:v>Rear</c:v>
                </c:pt>
              </c:strCache>
            </c:strRef>
          </c:tx>
          <c:spPr>
            <a:ln w="25400" cap="rnd">
              <a:noFill/>
              <a:round/>
            </a:ln>
            <a:effectLst/>
          </c:spPr>
          <c:marker>
            <c:symbol val="circle"/>
            <c:size val="5"/>
            <c:spPr>
              <a:solidFill>
                <a:schemeClr val="accent4"/>
              </a:solidFill>
              <a:ln w="9525">
                <a:noFill/>
              </a:ln>
              <a:effectLst/>
            </c:spPr>
          </c:marker>
          <c:xVal>
            <c:numRef>
              <c:f>Data!$A$58:$A$98</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xVal>
          <c:yVal>
            <c:numRef>
              <c:f>Data!$C$58:$C$98</c:f>
              <c:numCache>
                <c:formatCode>0.000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0-8FFF-4D03-BBB9-75D70DF812ED}"/>
            </c:ext>
          </c:extLst>
        </c:ser>
        <c:dLbls>
          <c:showLegendKey val="0"/>
          <c:showVal val="0"/>
          <c:showCatName val="0"/>
          <c:showSerName val="0"/>
          <c:showPercent val="0"/>
          <c:showBubbleSize val="0"/>
        </c:dLbls>
        <c:axId val="-2129841208"/>
        <c:axId val="-2129068456"/>
      </c:scatterChart>
      <c:valAx>
        <c:axId val="-2129841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068456"/>
        <c:crosses val="autoZero"/>
        <c:crossBetween val="midCat"/>
        <c:majorUnit val="5"/>
      </c:valAx>
      <c:valAx>
        <c:axId val="-21290684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841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9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Illumination!$A$50:$A$52</c:f>
              <c:numCache>
                <c:formatCode>General</c:formatCode>
                <c:ptCount val="3"/>
                <c:pt idx="0">
                  <c:v>1140</c:v>
                </c:pt>
                <c:pt idx="1">
                  <c:v>1180</c:v>
                </c:pt>
                <c:pt idx="2">
                  <c:v>1220</c:v>
                </c:pt>
              </c:numCache>
            </c:numRef>
          </c:xVal>
          <c:yVal>
            <c:numRef>
              <c:f>Illumination!$C$50:$C$52</c:f>
              <c:numCache>
                <c:formatCode>0.00E+00</c:formatCode>
                <c:ptCount val="3"/>
                <c:pt idx="0">
                  <c:v>1</c:v>
                </c:pt>
                <c:pt idx="1">
                  <c:v>6.5000000000000002E-2</c:v>
                </c:pt>
                <c:pt idx="2">
                  <c:v>8.2000000000000007E-3</c:v>
                </c:pt>
              </c:numCache>
            </c:numRef>
          </c:yVal>
          <c:smooth val="1"/>
          <c:extLst>
            <c:ext xmlns:c16="http://schemas.microsoft.com/office/drawing/2014/chart" uri="{C3380CC4-5D6E-409C-BE32-E72D297353CC}">
              <c16:uniqueId val="{00000001-87F9-4607-ACDA-D9C861C9CDA3}"/>
            </c:ext>
          </c:extLst>
        </c:ser>
        <c:dLbls>
          <c:showLegendKey val="0"/>
          <c:showVal val="0"/>
          <c:showCatName val="0"/>
          <c:showSerName val="0"/>
          <c:showPercent val="0"/>
          <c:showBubbleSize val="0"/>
        </c:dLbls>
        <c:axId val="854686991"/>
        <c:axId val="854698031"/>
      </c:scatterChart>
      <c:valAx>
        <c:axId val="8546869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698031"/>
        <c:crosses val="autoZero"/>
        <c:crossBetween val="midCat"/>
      </c:valAx>
      <c:valAx>
        <c:axId val="8546980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686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to Bottom</a:t>
            </a:r>
          </a:p>
        </c:rich>
      </c:tx>
      <c:layout>
        <c:manualLayout>
          <c:xMode val="edge"/>
          <c:yMode val="edge"/>
          <c:x val="0.39333334707394502"/>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Data!$M$3:$M$43</c:f>
              <c:numCache>
                <c:formatCode>0.000</c:formatCode>
                <c:ptCount val="41"/>
                <c:pt idx="0">
                  <c:v>0</c:v>
                </c:pt>
                <c:pt idx="1">
                  <c:v>3.7500000000000007E-3</c:v>
                </c:pt>
                <c:pt idx="2">
                  <c:v>7.5000000000000015E-3</c:v>
                </c:pt>
                <c:pt idx="3">
                  <c:v>1.1250000000000001E-2</c:v>
                </c:pt>
                <c:pt idx="4">
                  <c:v>1.5000000000000003E-2</c:v>
                </c:pt>
                <c:pt idx="5">
                  <c:v>1.8750000000000003E-2</c:v>
                </c:pt>
                <c:pt idx="6">
                  <c:v>2.2500000000000003E-2</c:v>
                </c:pt>
                <c:pt idx="7">
                  <c:v>2.6250000000000002E-2</c:v>
                </c:pt>
                <c:pt idx="8">
                  <c:v>3.0000000000000006E-2</c:v>
                </c:pt>
                <c:pt idx="9">
                  <c:v>3.3750000000000002E-2</c:v>
                </c:pt>
                <c:pt idx="10">
                  <c:v>3.7500000000000006E-2</c:v>
                </c:pt>
                <c:pt idx="11">
                  <c:v>4.1250000000000009E-2</c:v>
                </c:pt>
                <c:pt idx="12">
                  <c:v>4.5000000000000005E-2</c:v>
                </c:pt>
                <c:pt idx="13">
                  <c:v>4.8750000000000009E-2</c:v>
                </c:pt>
                <c:pt idx="14">
                  <c:v>5.2500000000000005E-2</c:v>
                </c:pt>
                <c:pt idx="15">
                  <c:v>5.6250000000000008E-2</c:v>
                </c:pt>
                <c:pt idx="16">
                  <c:v>6.0000000000000012E-2</c:v>
                </c:pt>
                <c:pt idx="17">
                  <c:v>6.3750000000000015E-2</c:v>
                </c:pt>
                <c:pt idx="18">
                  <c:v>6.7500000000000004E-2</c:v>
                </c:pt>
                <c:pt idx="19">
                  <c:v>7.1250000000000008E-2</c:v>
                </c:pt>
                <c:pt idx="20">
                  <c:v>7.5000000000000011E-2</c:v>
                </c:pt>
                <c:pt idx="21">
                  <c:v>7.8750000000000014E-2</c:v>
                </c:pt>
                <c:pt idx="22">
                  <c:v>8.2500000000000018E-2</c:v>
                </c:pt>
                <c:pt idx="23">
                  <c:v>8.6250000000000007E-2</c:v>
                </c:pt>
                <c:pt idx="24">
                  <c:v>9.0000000000000011E-2</c:v>
                </c:pt>
                <c:pt idx="25">
                  <c:v>9.3750000000000014E-2</c:v>
                </c:pt>
                <c:pt idx="26">
                  <c:v>9.7500000000000017E-2</c:v>
                </c:pt>
                <c:pt idx="27">
                  <c:v>0.10125000000000002</c:v>
                </c:pt>
                <c:pt idx="28">
                  <c:v>0.10500000000000001</c:v>
                </c:pt>
                <c:pt idx="29">
                  <c:v>0.10875000000000001</c:v>
                </c:pt>
                <c:pt idx="30">
                  <c:v>0.11250000000000002</c:v>
                </c:pt>
                <c:pt idx="31">
                  <c:v>0.11625000000000002</c:v>
                </c:pt>
                <c:pt idx="32">
                  <c:v>0.12000000000000002</c:v>
                </c:pt>
                <c:pt idx="33">
                  <c:v>0.12375000000000001</c:v>
                </c:pt>
                <c:pt idx="34">
                  <c:v>0.12750000000000003</c:v>
                </c:pt>
                <c:pt idx="35">
                  <c:v>0.13125000000000003</c:v>
                </c:pt>
                <c:pt idx="36">
                  <c:v>0.13500000000000001</c:v>
                </c:pt>
                <c:pt idx="37">
                  <c:v>0.13875000000000001</c:v>
                </c:pt>
                <c:pt idx="38">
                  <c:v>0.14250000000000002</c:v>
                </c:pt>
                <c:pt idx="39">
                  <c:v>0.14625000000000002</c:v>
                </c:pt>
                <c:pt idx="40">
                  <c:v>0.15000000000000002</c:v>
                </c:pt>
              </c:numCache>
            </c:numRef>
          </c:xVal>
          <c:yVal>
            <c:numRef>
              <c:f>Data!$N$3:$N$43</c:f>
              <c:numCache>
                <c:formatCode>0.00E+00</c:formatCode>
                <c:ptCount val="41"/>
                <c:pt idx="0">
                  <c:v>7410961457372872</c:v>
                </c:pt>
                <c:pt idx="1">
                  <c:v>7411158792645472</c:v>
                </c:pt>
                <c:pt idx="2">
                  <c:v>7408784683546720</c:v>
                </c:pt>
                <c:pt idx="3">
                  <c:v>7406045683913744</c:v>
                </c:pt>
                <c:pt idx="4">
                  <c:v>7403100145815232</c:v>
                </c:pt>
                <c:pt idx="5">
                  <c:v>7400157613728360</c:v>
                </c:pt>
                <c:pt idx="6">
                  <c:v>7397198990260392</c:v>
                </c:pt>
                <c:pt idx="7">
                  <c:v>7394268807295592</c:v>
                </c:pt>
                <c:pt idx="8">
                  <c:v>7391336484682584</c:v>
                </c:pt>
                <c:pt idx="9">
                  <c:v>7388423380262904</c:v>
                </c:pt>
                <c:pt idx="10">
                  <c:v>7385511193348280</c:v>
                </c:pt>
                <c:pt idx="11">
                  <c:v>7382612875686720</c:v>
                </c:pt>
                <c:pt idx="12">
                  <c:v>7379715761101232</c:v>
                </c:pt>
                <c:pt idx="13">
                  <c:v>7376828334329096</c:v>
                </c:pt>
                <c:pt idx="14">
                  <c:v>7373940914202160</c:v>
                </c:pt>
                <c:pt idx="15">
                  <c:v>7371059223054424</c:v>
                </c:pt>
                <c:pt idx="16">
                  <c:v>7368175236662440</c:v>
                </c:pt>
                <c:pt idx="17">
                  <c:v>7365292735933088</c:v>
                </c:pt>
                <c:pt idx="18">
                  <c:v>7362404565361872</c:v>
                </c:pt>
                <c:pt idx="19">
                  <c:v>7359512953276192</c:v>
                </c:pt>
                <c:pt idx="20">
                  <c:v>7356611053875952</c:v>
                </c:pt>
                <c:pt idx="21">
                  <c:v>7353699669292072</c:v>
                </c:pt>
                <c:pt idx="22">
                  <c:v>7350771775269912</c:v>
                </c:pt>
                <c:pt idx="23">
                  <c:v>7347826663076056</c:v>
                </c:pt>
                <c:pt idx="24">
                  <c:v>7344856598758960</c:v>
                </c:pt>
                <c:pt idx="25">
                  <c:v>7341859044739032</c:v>
                </c:pt>
                <c:pt idx="26">
                  <c:v>7338824857164048</c:v>
                </c:pt>
                <c:pt idx="27">
                  <c:v>7335749016469736</c:v>
                </c:pt>
                <c:pt idx="28">
                  <c:v>7332619904154064</c:v>
                </c:pt>
                <c:pt idx="29">
                  <c:v>7329428795862440</c:v>
                </c:pt>
                <c:pt idx="30">
                  <c:v>7326159801895200</c:v>
                </c:pt>
                <c:pt idx="31">
                  <c:v>7322798193704024</c:v>
                </c:pt>
                <c:pt idx="32">
                  <c:v>7319320516983488</c:v>
                </c:pt>
                <c:pt idx="33">
                  <c:v>7315701538909768</c:v>
                </c:pt>
                <c:pt idx="34">
                  <c:v>7311903738065032</c:v>
                </c:pt>
                <c:pt idx="35">
                  <c:v>7307882063319136</c:v>
                </c:pt>
                <c:pt idx="36">
                  <c:v>7303571146000680</c:v>
                </c:pt>
                <c:pt idx="37">
                  <c:v>7298885593811096</c:v>
                </c:pt>
                <c:pt idx="38">
                  <c:v>7293700936424312</c:v>
                </c:pt>
                <c:pt idx="39">
                  <c:v>7287843277369240</c:v>
                </c:pt>
                <c:pt idx="40">
                  <c:v>7281053519145112</c:v>
                </c:pt>
              </c:numCache>
            </c:numRef>
          </c:yVal>
          <c:smooth val="0"/>
          <c:extLst>
            <c:ext xmlns:c16="http://schemas.microsoft.com/office/drawing/2014/chart" uri="{C3380CC4-5D6E-409C-BE32-E72D297353CC}">
              <c16:uniqueId val="{00000000-79B0-489A-B42B-B1D930BA0C9B}"/>
            </c:ext>
          </c:extLst>
        </c:ser>
        <c:dLbls>
          <c:showLegendKey val="0"/>
          <c:showVal val="0"/>
          <c:showCatName val="0"/>
          <c:showSerName val="0"/>
          <c:showPercent val="0"/>
          <c:showBubbleSize val="0"/>
        </c:dLbls>
        <c:axId val="-2128633896"/>
        <c:axId val="2106062168"/>
      </c:scatterChart>
      <c:valAx>
        <c:axId val="-212863389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062168"/>
        <c:crosses val="autoZero"/>
        <c:crossBetween val="midCat"/>
      </c:valAx>
      <c:valAx>
        <c:axId val="210606216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6338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Left to Right</a:t>
            </a:r>
          </a:p>
        </c:rich>
      </c:tx>
      <c:layout>
        <c:manualLayout>
          <c:xMode val="edge"/>
          <c:yMode val="edge"/>
          <c:x val="0.42179339851721598"/>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Data!$N$2:$BB$2</c:f>
              <c:numCache>
                <c:formatCode>0.000</c:formatCode>
                <c:ptCount val="41"/>
                <c:pt idx="0">
                  <c:v>0</c:v>
                </c:pt>
                <c:pt idx="1">
                  <c:v>1.8750000000000003E-2</c:v>
                </c:pt>
                <c:pt idx="2">
                  <c:v>3.7500000000000006E-2</c:v>
                </c:pt>
                <c:pt idx="3">
                  <c:v>5.6250000000000008E-2</c:v>
                </c:pt>
                <c:pt idx="4">
                  <c:v>7.5000000000000011E-2</c:v>
                </c:pt>
                <c:pt idx="5">
                  <c:v>9.3750000000000014E-2</c:v>
                </c:pt>
                <c:pt idx="6">
                  <c:v>0.11250000000000002</c:v>
                </c:pt>
                <c:pt idx="7">
                  <c:v>0.13125000000000003</c:v>
                </c:pt>
                <c:pt idx="8">
                  <c:v>0.15000000000000002</c:v>
                </c:pt>
                <c:pt idx="9">
                  <c:v>0.16875000000000001</c:v>
                </c:pt>
                <c:pt idx="10">
                  <c:v>0.18750000000000003</c:v>
                </c:pt>
                <c:pt idx="11">
                  <c:v>0.20625000000000004</c:v>
                </c:pt>
                <c:pt idx="12">
                  <c:v>0.22500000000000003</c:v>
                </c:pt>
                <c:pt idx="13">
                  <c:v>0.24375000000000002</c:v>
                </c:pt>
                <c:pt idx="14">
                  <c:v>0.26250000000000007</c:v>
                </c:pt>
                <c:pt idx="15">
                  <c:v>0.28125000000000006</c:v>
                </c:pt>
                <c:pt idx="16">
                  <c:v>0.30000000000000004</c:v>
                </c:pt>
                <c:pt idx="17">
                  <c:v>0.31875000000000003</c:v>
                </c:pt>
                <c:pt idx="18">
                  <c:v>0.33750000000000002</c:v>
                </c:pt>
                <c:pt idx="19">
                  <c:v>0.35625000000000007</c:v>
                </c:pt>
                <c:pt idx="20">
                  <c:v>0.37500000000000006</c:v>
                </c:pt>
                <c:pt idx="21">
                  <c:v>0.39375000000000004</c:v>
                </c:pt>
                <c:pt idx="22">
                  <c:v>0.41250000000000009</c:v>
                </c:pt>
                <c:pt idx="23">
                  <c:v>0.43125000000000008</c:v>
                </c:pt>
                <c:pt idx="24">
                  <c:v>0.45000000000000007</c:v>
                </c:pt>
                <c:pt idx="25">
                  <c:v>0.46875000000000006</c:v>
                </c:pt>
                <c:pt idx="26">
                  <c:v>0.48750000000000004</c:v>
                </c:pt>
                <c:pt idx="27">
                  <c:v>0.50625000000000009</c:v>
                </c:pt>
                <c:pt idx="28">
                  <c:v>0.52500000000000013</c:v>
                </c:pt>
                <c:pt idx="29">
                  <c:v>0.54375000000000007</c:v>
                </c:pt>
                <c:pt idx="30">
                  <c:v>0.56250000000000011</c:v>
                </c:pt>
                <c:pt idx="31">
                  <c:v>0.58125000000000004</c:v>
                </c:pt>
                <c:pt idx="32">
                  <c:v>0.60000000000000009</c:v>
                </c:pt>
                <c:pt idx="33">
                  <c:v>0.61875000000000013</c:v>
                </c:pt>
                <c:pt idx="34">
                  <c:v>0.63750000000000007</c:v>
                </c:pt>
                <c:pt idx="35">
                  <c:v>0.65625000000000011</c:v>
                </c:pt>
                <c:pt idx="36">
                  <c:v>0.67500000000000004</c:v>
                </c:pt>
                <c:pt idx="37">
                  <c:v>0.69375000000000009</c:v>
                </c:pt>
                <c:pt idx="38">
                  <c:v>0.71250000000000013</c:v>
                </c:pt>
                <c:pt idx="39">
                  <c:v>0.73125000000000007</c:v>
                </c:pt>
                <c:pt idx="40">
                  <c:v>0.75000000000000011</c:v>
                </c:pt>
              </c:numCache>
            </c:numRef>
          </c:xVal>
          <c:yVal>
            <c:numRef>
              <c:f>Data!$N$3:$BB$3</c:f>
              <c:numCache>
                <c:formatCode>0.00E+00</c:formatCode>
                <c:ptCount val="41"/>
                <c:pt idx="0">
                  <c:v>7410961457372872</c:v>
                </c:pt>
                <c:pt idx="1">
                  <c:v>7411073383600232</c:v>
                </c:pt>
                <c:pt idx="2">
                  <c:v>7411402396537944</c:v>
                </c:pt>
                <c:pt idx="3">
                  <c:v>7411929280414096</c:v>
                </c:pt>
                <c:pt idx="4">
                  <c:v>7412626093183032</c:v>
                </c:pt>
                <c:pt idx="5">
                  <c:v>7413460377742392</c:v>
                </c:pt>
                <c:pt idx="6">
                  <c:v>7414399264990360</c:v>
                </c:pt>
                <c:pt idx="7">
                  <c:v>7415412232285224</c:v>
                </c:pt>
                <c:pt idx="8">
                  <c:v>7416472816211384</c:v>
                </c:pt>
                <c:pt idx="9">
                  <c:v>7417559176787040</c:v>
                </c:pt>
                <c:pt idx="10">
                  <c:v>7418654097800008</c:v>
                </c:pt>
                <c:pt idx="11">
                  <c:v>7419744496668624</c:v>
                </c:pt>
                <c:pt idx="12">
                  <c:v>7420820829322600</c:v>
                </c:pt>
                <c:pt idx="13">
                  <c:v>7421876367894640</c:v>
                </c:pt>
                <c:pt idx="14">
                  <c:v>7422906564935864</c:v>
                </c:pt>
                <c:pt idx="15">
                  <c:v>7423908424771328</c:v>
                </c:pt>
                <c:pt idx="16">
                  <c:v>7424880013342160</c:v>
                </c:pt>
                <c:pt idx="17">
                  <c:v>7425820017956232</c:v>
                </c:pt>
                <c:pt idx="18">
                  <c:v>7426727445538944</c:v>
                </c:pt>
                <c:pt idx="19">
                  <c:v>7427601378386504</c:v>
                </c:pt>
                <c:pt idx="20">
                  <c:v>7428440848563208</c:v>
                </c:pt>
                <c:pt idx="21">
                  <c:v>7429244755178184</c:v>
                </c:pt>
                <c:pt idx="22">
                  <c:v>7430011872537200</c:v>
                </c:pt>
                <c:pt idx="23">
                  <c:v>7430740872779592</c:v>
                </c:pt>
                <c:pt idx="24">
                  <c:v>7431430414299840</c:v>
                </c:pt>
                <c:pt idx="25">
                  <c:v>7432079216891296</c:v>
                </c:pt>
                <c:pt idx="26">
                  <c:v>7432686193125704</c:v>
                </c:pt>
                <c:pt idx="27">
                  <c:v>7433250519705496</c:v>
                </c:pt>
                <c:pt idx="28">
                  <c:v>7433771735444336</c:v>
                </c:pt>
                <c:pt idx="29">
                  <c:v>7434249706934216</c:v>
                </c:pt>
                <c:pt idx="30">
                  <c:v>7434684611892960</c:v>
                </c:pt>
                <c:pt idx="31">
                  <c:v>7435076801558792</c:v>
                </c:pt>
                <c:pt idx="32">
                  <c:v>7435426730431576</c:v>
                </c:pt>
                <c:pt idx="33">
                  <c:v>7435734834805912</c:v>
                </c:pt>
                <c:pt idx="34">
                  <c:v>7436001495208392</c:v>
                </c:pt>
                <c:pt idx="35">
                  <c:v>7436226978882992</c:v>
                </c:pt>
                <c:pt idx="36">
                  <c:v>7436411449857400</c:v>
                </c:pt>
                <c:pt idx="37">
                  <c:v>7436554964367392</c:v>
                </c:pt>
                <c:pt idx="38">
                  <c:v>7436657522096688</c:v>
                </c:pt>
                <c:pt idx="39">
                  <c:v>7436719078220080</c:v>
                </c:pt>
                <c:pt idx="40">
                  <c:v>7436739603375256</c:v>
                </c:pt>
              </c:numCache>
            </c:numRef>
          </c:yVal>
          <c:smooth val="0"/>
          <c:extLst>
            <c:ext xmlns:c16="http://schemas.microsoft.com/office/drawing/2014/chart" uri="{C3380CC4-5D6E-409C-BE32-E72D297353CC}">
              <c16:uniqueId val="{00000000-C8E4-40B5-B144-40781D64B4D8}"/>
            </c:ext>
          </c:extLst>
        </c:ser>
        <c:dLbls>
          <c:showLegendKey val="0"/>
          <c:showVal val="0"/>
          <c:showCatName val="0"/>
          <c:showSerName val="0"/>
          <c:showPercent val="0"/>
          <c:showBubbleSize val="0"/>
        </c:dLbls>
        <c:axId val="2145080616"/>
        <c:axId val="-2121963944"/>
      </c:scatterChart>
      <c:valAx>
        <c:axId val="214508061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963944"/>
        <c:crosses val="autoZero"/>
        <c:crossBetween val="midCat"/>
      </c:valAx>
      <c:valAx>
        <c:axId val="-2121963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80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Left to Right</a:t>
            </a:r>
          </a:p>
        </c:rich>
      </c:tx>
      <c:layout>
        <c:manualLayout>
          <c:xMode val="edge"/>
          <c:yMode val="edge"/>
          <c:x val="0.42179339851721598"/>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Data!$BE$2:$CS$2</c:f>
              <c:numCache>
                <c:formatCode>0.000</c:formatCode>
                <c:ptCount val="41"/>
                <c:pt idx="0">
                  <c:v>0</c:v>
                </c:pt>
                <c:pt idx="1">
                  <c:v>1.8750000000000003E-2</c:v>
                </c:pt>
                <c:pt idx="2">
                  <c:v>3.7500000000000006E-2</c:v>
                </c:pt>
                <c:pt idx="3">
                  <c:v>5.6250000000000008E-2</c:v>
                </c:pt>
                <c:pt idx="4">
                  <c:v>7.5000000000000011E-2</c:v>
                </c:pt>
                <c:pt idx="5">
                  <c:v>9.3750000000000014E-2</c:v>
                </c:pt>
                <c:pt idx="6">
                  <c:v>0.11250000000000002</c:v>
                </c:pt>
                <c:pt idx="7">
                  <c:v>0.13125000000000003</c:v>
                </c:pt>
                <c:pt idx="8">
                  <c:v>0.15000000000000002</c:v>
                </c:pt>
                <c:pt idx="9">
                  <c:v>0.16875000000000001</c:v>
                </c:pt>
                <c:pt idx="10">
                  <c:v>0.18750000000000003</c:v>
                </c:pt>
                <c:pt idx="11">
                  <c:v>0.20625000000000004</c:v>
                </c:pt>
                <c:pt idx="12">
                  <c:v>0.22500000000000003</c:v>
                </c:pt>
                <c:pt idx="13">
                  <c:v>0.24375000000000002</c:v>
                </c:pt>
                <c:pt idx="14">
                  <c:v>0.26250000000000007</c:v>
                </c:pt>
                <c:pt idx="15">
                  <c:v>0.28125000000000006</c:v>
                </c:pt>
                <c:pt idx="16">
                  <c:v>0.30000000000000004</c:v>
                </c:pt>
                <c:pt idx="17">
                  <c:v>0.31875000000000003</c:v>
                </c:pt>
                <c:pt idx="18">
                  <c:v>0.33750000000000002</c:v>
                </c:pt>
                <c:pt idx="19">
                  <c:v>0.35625000000000007</c:v>
                </c:pt>
                <c:pt idx="20">
                  <c:v>0.37500000000000006</c:v>
                </c:pt>
                <c:pt idx="21">
                  <c:v>0.39375000000000004</c:v>
                </c:pt>
                <c:pt idx="22">
                  <c:v>0.41250000000000009</c:v>
                </c:pt>
                <c:pt idx="23">
                  <c:v>0.43125000000000008</c:v>
                </c:pt>
                <c:pt idx="24">
                  <c:v>0.45000000000000007</c:v>
                </c:pt>
                <c:pt idx="25">
                  <c:v>0.46875000000000006</c:v>
                </c:pt>
                <c:pt idx="26">
                  <c:v>0.48750000000000004</c:v>
                </c:pt>
                <c:pt idx="27">
                  <c:v>0.50625000000000009</c:v>
                </c:pt>
                <c:pt idx="28">
                  <c:v>0.52500000000000013</c:v>
                </c:pt>
                <c:pt idx="29">
                  <c:v>0.54375000000000007</c:v>
                </c:pt>
                <c:pt idx="30">
                  <c:v>0.56250000000000011</c:v>
                </c:pt>
                <c:pt idx="31">
                  <c:v>0.58125000000000004</c:v>
                </c:pt>
                <c:pt idx="32">
                  <c:v>0.60000000000000009</c:v>
                </c:pt>
                <c:pt idx="33">
                  <c:v>0.61875000000000013</c:v>
                </c:pt>
                <c:pt idx="34">
                  <c:v>0.63750000000000007</c:v>
                </c:pt>
                <c:pt idx="35">
                  <c:v>0.65625000000000011</c:v>
                </c:pt>
                <c:pt idx="36">
                  <c:v>0.67500000000000004</c:v>
                </c:pt>
                <c:pt idx="37">
                  <c:v>0.69375000000000009</c:v>
                </c:pt>
                <c:pt idx="38">
                  <c:v>0.71250000000000013</c:v>
                </c:pt>
                <c:pt idx="39">
                  <c:v>0.73125000000000007</c:v>
                </c:pt>
                <c:pt idx="40">
                  <c:v>0.75000000000000011</c:v>
                </c:pt>
              </c:numCache>
            </c:numRef>
          </c:xVal>
          <c:yVal>
            <c:numRef>
              <c:f>Data!$BE$44:$CS$44</c:f>
              <c:numCache>
                <c:formatCode>0.00E+00</c:formatCode>
                <c:ptCount val="41"/>
                <c:pt idx="0">
                  <c:v>3.4043656628439196E+19</c:v>
                </c:pt>
                <c:pt idx="1">
                  <c:v>3.4055206547929027E+19</c:v>
                </c:pt>
                <c:pt idx="2">
                  <c:v>3.4074793787761218E+19</c:v>
                </c:pt>
                <c:pt idx="3">
                  <c:v>3.4093151602018533E+19</c:v>
                </c:pt>
                <c:pt idx="4">
                  <c:v>3.4110158320512717E+19</c:v>
                </c:pt>
                <c:pt idx="5">
                  <c:v>3.4125874764782883E+19</c:v>
                </c:pt>
                <c:pt idx="6">
                  <c:v>3.4140494513746694E+19</c:v>
                </c:pt>
                <c:pt idx="7">
                  <c:v>3.4154078971336356E+19</c:v>
                </c:pt>
                <c:pt idx="8">
                  <c:v>3.4166777905860403E+19</c:v>
                </c:pt>
                <c:pt idx="9">
                  <c:v>3.417865535001602E+19</c:v>
                </c:pt>
                <c:pt idx="10">
                  <c:v>3.4189822350522778E+19</c:v>
                </c:pt>
                <c:pt idx="11">
                  <c:v>3.4200331517429649E+19</c:v>
                </c:pt>
                <c:pt idx="12">
                  <c:v>3.4210264666920886E+19</c:v>
                </c:pt>
                <c:pt idx="13">
                  <c:v>3.4219661873501893E+19</c:v>
                </c:pt>
                <c:pt idx="14">
                  <c:v>3.4228583310285406E+19</c:v>
                </c:pt>
                <c:pt idx="15">
                  <c:v>3.4237057466814886E+19</c:v>
                </c:pt>
                <c:pt idx="16">
                  <c:v>3.4245127330213835E+19</c:v>
                </c:pt>
                <c:pt idx="17">
                  <c:v>3.4252810588945076E+19</c:v>
                </c:pt>
                <c:pt idx="18">
                  <c:v>3.4260135949280301E+19</c:v>
                </c:pt>
                <c:pt idx="19">
                  <c:v>3.4267111472844325E+19</c:v>
                </c:pt>
                <c:pt idx="20">
                  <c:v>3.4273754384856883E+19</c:v>
                </c:pt>
                <c:pt idx="21">
                  <c:v>3.4280065142192542E+19</c:v>
                </c:pt>
                <c:pt idx="22">
                  <c:v>3.4286052689729761E+19</c:v>
                </c:pt>
                <c:pt idx="23">
                  <c:v>3.4291712609539232E+19</c:v>
                </c:pt>
                <c:pt idx="24">
                  <c:v>3.4297049007156564E+19</c:v>
                </c:pt>
                <c:pt idx="25">
                  <c:v>3.4302055566870213E+19</c:v>
                </c:pt>
                <c:pt idx="26">
                  <c:v>3.430673481729099E+19</c:v>
                </c:pt>
                <c:pt idx="27">
                  <c:v>3.4311081179579728E+19</c:v>
                </c:pt>
                <c:pt idx="28">
                  <c:v>3.4315098016983495E+19</c:v>
                </c:pt>
                <c:pt idx="29">
                  <c:v>3.4318781910595555E+19</c:v>
                </c:pt>
                <c:pt idx="30">
                  <c:v>3.4322137800119169E+19</c:v>
                </c:pt>
                <c:pt idx="31">
                  <c:v>3.4325164133267849E+19</c:v>
                </c:pt>
                <c:pt idx="32">
                  <c:v>3.4327866649952215E+19</c:v>
                </c:pt>
                <c:pt idx="33">
                  <c:v>3.4330244435062514E+19</c:v>
                </c:pt>
                <c:pt idx="34">
                  <c:v>3.4332302920713507E+19</c:v>
                </c:pt>
                <c:pt idx="35">
                  <c:v>3.4334040812221215E+19</c:v>
                </c:pt>
                <c:pt idx="36">
                  <c:v>3.4335462641208607E+19</c:v>
                </c:pt>
                <c:pt idx="37">
                  <c:v>3.4336566375483601E+19</c:v>
                </c:pt>
                <c:pt idx="38">
                  <c:v>3.4337355681671741E+19</c:v>
                </c:pt>
                <c:pt idx="39">
                  <c:v>3.4337827952362533E+19</c:v>
                </c:pt>
                <c:pt idx="40">
                  <c:v>3.4337986343505727E+19</c:v>
                </c:pt>
              </c:numCache>
            </c:numRef>
          </c:yVal>
          <c:smooth val="0"/>
          <c:extLst>
            <c:ext xmlns:c16="http://schemas.microsoft.com/office/drawing/2014/chart" uri="{C3380CC4-5D6E-409C-BE32-E72D297353CC}">
              <c16:uniqueId val="{00000000-3977-430E-BC4B-863AED86837C}"/>
            </c:ext>
          </c:extLst>
        </c:ser>
        <c:dLbls>
          <c:showLegendKey val="0"/>
          <c:showVal val="0"/>
          <c:showCatName val="0"/>
          <c:showSerName val="0"/>
          <c:showPercent val="0"/>
          <c:showBubbleSize val="0"/>
        </c:dLbls>
        <c:axId val="2145080616"/>
        <c:axId val="-2121963944"/>
      </c:scatterChart>
      <c:valAx>
        <c:axId val="214508061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963944"/>
        <c:crosses val="autoZero"/>
        <c:crossBetween val="midCat"/>
      </c:valAx>
      <c:valAx>
        <c:axId val="-2121963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80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13</xdr:row>
          <xdr:rowOff>66675</xdr:rowOff>
        </xdr:from>
        <xdr:to>
          <xdr:col>4</xdr:col>
          <xdr:colOff>561975</xdr:colOff>
          <xdr:row>14</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Lucida Grande"/>
                </a:rPr>
                <a:t>IV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13</xdr:row>
          <xdr:rowOff>66675</xdr:rowOff>
        </xdr:from>
        <xdr:to>
          <xdr:col>11</xdr:col>
          <xdr:colOff>542925</xdr:colOff>
          <xdr:row>14</xdr:row>
          <xdr:rowOff>152400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Lucida Grande"/>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85725</xdr:rowOff>
        </xdr:from>
        <xdr:to>
          <xdr:col>0</xdr:col>
          <xdr:colOff>809625</xdr:colOff>
          <xdr:row>5</xdr:row>
          <xdr:rowOff>161925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47625</xdr:colOff>
          <xdr:row>7</xdr:row>
          <xdr:rowOff>47625</xdr:rowOff>
        </xdr:from>
        <xdr:to>
          <xdr:col>19</xdr:col>
          <xdr:colOff>561975</xdr:colOff>
          <xdr:row>8</xdr:row>
          <xdr:rowOff>142875</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000-00001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Scan</a:t>
              </a:r>
            </a:p>
          </xdr:txBody>
        </xdr:sp>
        <xdr:clientData fPrintsWithSheet="0"/>
      </xdr:twoCellAnchor>
    </mc:Choice>
    <mc:Fallback/>
  </mc:AlternateContent>
  <xdr:twoCellAnchor>
    <xdr:from>
      <xdr:col>0</xdr:col>
      <xdr:colOff>57150</xdr:colOff>
      <xdr:row>15</xdr:row>
      <xdr:rowOff>47625</xdr:rowOff>
    </xdr:from>
    <xdr:to>
      <xdr:col>5</xdr:col>
      <xdr:colOff>505409</xdr:colOff>
      <xdr:row>26</xdr:row>
      <xdr:rowOff>161925</xdr:rowOff>
    </xdr:to>
    <xdr:graphicFrame macro="">
      <xdr:nvGraphicFramePr>
        <xdr:cNvPr id="28" name="Chart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68036</xdr:colOff>
      <xdr:row>15</xdr:row>
      <xdr:rowOff>29159</xdr:rowOff>
    </xdr:from>
    <xdr:to>
      <xdr:col>12</xdr:col>
      <xdr:colOff>523487</xdr:colOff>
      <xdr:row>26</xdr:row>
      <xdr:rowOff>181559</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9720</xdr:colOff>
      <xdr:row>10</xdr:row>
      <xdr:rowOff>38100</xdr:rowOff>
    </xdr:from>
    <xdr:to>
      <xdr:col>19</xdr:col>
      <xdr:colOff>600075</xdr:colOff>
      <xdr:row>26</xdr:row>
      <xdr:rowOff>165100</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66675</xdr:colOff>
          <xdr:row>0</xdr:row>
          <xdr:rowOff>38100</xdr:rowOff>
        </xdr:from>
        <xdr:to>
          <xdr:col>0</xdr:col>
          <xdr:colOff>800100</xdr:colOff>
          <xdr:row>1</xdr:row>
          <xdr:rowOff>104775</xdr:rowOff>
        </xdr:to>
        <xdr:sp macro="" textlink="">
          <xdr:nvSpPr>
            <xdr:cNvPr id="6215" name="Button 71" hidden="1">
              <a:extLst>
                <a:ext uri="{63B3BB69-23CF-44E3-9099-C40C66FF867C}">
                  <a14:compatExt spid="_x0000_s6215"/>
                </a:ext>
                <a:ext uri="{FF2B5EF4-FFF2-40B4-BE49-F238E27FC236}">
                  <a16:creationId xmlns:a16="http://schemas.microsoft.com/office/drawing/2014/main" id="{00000000-0008-0000-0000-00004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152400</xdr:rowOff>
        </xdr:from>
        <xdr:to>
          <xdr:col>0</xdr:col>
          <xdr:colOff>809625</xdr:colOff>
          <xdr:row>3</xdr:row>
          <xdr:rowOff>28575</xdr:rowOff>
        </xdr:to>
        <xdr:sp macro="" textlink="">
          <xdr:nvSpPr>
            <xdr:cNvPr id="6216" name="Button 72" hidden="1">
              <a:extLst>
                <a:ext uri="{63B3BB69-23CF-44E3-9099-C40C66FF867C}">
                  <a14:compatExt spid="_x0000_s6216"/>
                </a:ext>
                <a:ext uri="{FF2B5EF4-FFF2-40B4-BE49-F238E27FC236}">
                  <a16:creationId xmlns:a16="http://schemas.microsoft.com/office/drawing/2014/main" id="{00000000-0008-0000-0000-00004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xdr:row>
          <xdr:rowOff>28575</xdr:rowOff>
        </xdr:from>
        <xdr:to>
          <xdr:col>11</xdr:col>
          <xdr:colOff>533400</xdr:colOff>
          <xdr:row>3</xdr:row>
          <xdr:rowOff>180975</xdr:rowOff>
        </xdr:to>
        <xdr:sp macro="" textlink="">
          <xdr:nvSpPr>
            <xdr:cNvPr id="6217" name="Button 73" hidden="1">
              <a:extLst>
                <a:ext uri="{63B3BB69-23CF-44E3-9099-C40C66FF867C}">
                  <a14:compatExt spid="_x0000_s6217"/>
                </a:ext>
                <a:ext uri="{FF2B5EF4-FFF2-40B4-BE49-F238E27FC236}">
                  <a16:creationId xmlns:a16="http://schemas.microsoft.com/office/drawing/2014/main" id="{00000000-0008-0000-0000-00004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28575</xdr:rowOff>
        </xdr:from>
        <xdr:to>
          <xdr:col>15</xdr:col>
          <xdr:colOff>504825</xdr:colOff>
          <xdr:row>1</xdr:row>
          <xdr:rowOff>0</xdr:rowOff>
        </xdr:to>
        <xdr:sp macro="" textlink="">
          <xdr:nvSpPr>
            <xdr:cNvPr id="6232" name="Button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28575</xdr:rowOff>
        </xdr:from>
        <xdr:to>
          <xdr:col>15</xdr:col>
          <xdr:colOff>504825</xdr:colOff>
          <xdr:row>2</xdr:row>
          <xdr:rowOff>0</xdr:rowOff>
        </xdr:to>
        <xdr:sp macro="" textlink="">
          <xdr:nvSpPr>
            <xdr:cNvPr id="6245" name="Button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Illumination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2</xdr:row>
          <xdr:rowOff>28575</xdr:rowOff>
        </xdr:from>
        <xdr:to>
          <xdr:col>15</xdr:col>
          <xdr:colOff>504825</xdr:colOff>
          <xdr:row>3</xdr:row>
          <xdr:rowOff>0</xdr:rowOff>
        </xdr:to>
        <xdr:sp macro="" textlink="">
          <xdr:nvSpPr>
            <xdr:cNvPr id="6246" name="Button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Surface Recomb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3</xdr:row>
          <xdr:rowOff>28575</xdr:rowOff>
        </xdr:from>
        <xdr:to>
          <xdr:col>15</xdr:col>
          <xdr:colOff>504825</xdr:colOff>
          <xdr:row>4</xdr:row>
          <xdr:rowOff>0</xdr:rowOff>
        </xdr:to>
        <xdr:sp macro="" textlink="">
          <xdr:nvSpPr>
            <xdr:cNvPr id="6247" name="Button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Surface 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4</xdr:row>
          <xdr:rowOff>28575</xdr:rowOff>
        </xdr:from>
        <xdr:to>
          <xdr:col>15</xdr:col>
          <xdr:colOff>504825</xdr:colOff>
          <xdr:row>5</xdr:row>
          <xdr:rowOff>0</xdr:rowOff>
        </xdr:to>
        <xdr:sp macro="" textlink="">
          <xdr:nvSpPr>
            <xdr:cNvPr id="6248" name="Button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Luminescence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0</xdr:row>
          <xdr:rowOff>28575</xdr:rowOff>
        </xdr:from>
        <xdr:to>
          <xdr:col>17</xdr:col>
          <xdr:colOff>504825</xdr:colOff>
          <xdr:row>1</xdr:row>
          <xdr:rowOff>0</xdr:rowOff>
        </xdr:to>
        <xdr:sp macro="" textlink="">
          <xdr:nvSpPr>
            <xdr:cNvPr id="6249" name="Button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1</xdr:row>
          <xdr:rowOff>28575</xdr:rowOff>
        </xdr:from>
        <xdr:to>
          <xdr:col>17</xdr:col>
          <xdr:colOff>504825</xdr:colOff>
          <xdr:row>2</xdr:row>
          <xdr:rowOff>0</xdr:rowOff>
        </xdr:to>
        <xdr:sp macro="" textlink="">
          <xdr:nvSpPr>
            <xdr:cNvPr id="6250" name="Button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Bulk Recomb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2</xdr:row>
          <xdr:rowOff>28575</xdr:rowOff>
        </xdr:from>
        <xdr:to>
          <xdr:col>17</xdr:col>
          <xdr:colOff>504825</xdr:colOff>
          <xdr:row>3</xdr:row>
          <xdr:rowOff>0</xdr:rowOff>
        </xdr:to>
        <xdr:sp macro="" textlink="">
          <xdr:nvSpPr>
            <xdr:cNvPr id="6251" name="Button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Excess Carriers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3</xdr:row>
          <xdr:rowOff>28575</xdr:rowOff>
        </xdr:from>
        <xdr:to>
          <xdr:col>17</xdr:col>
          <xdr:colOff>504825</xdr:colOff>
          <xdr:row>4</xdr:row>
          <xdr:rowOff>0</xdr:rowOff>
        </xdr:to>
        <xdr:sp macro="" textlink="">
          <xdr:nvSpPr>
            <xdr:cNvPr id="6252" name="Button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Excess Psi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4</xdr:row>
          <xdr:rowOff>28575</xdr:rowOff>
        </xdr:from>
        <xdr:to>
          <xdr:col>17</xdr:col>
          <xdr:colOff>504825</xdr:colOff>
          <xdr:row>5</xdr:row>
          <xdr:rowOff>0</xdr:rowOff>
        </xdr:to>
        <xdr:sp macro="" textlink="">
          <xdr:nvSpPr>
            <xdr:cNvPr id="6253" name="Button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Quasi-Fermi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104775</xdr:colOff>
          <xdr:row>0</xdr:row>
          <xdr:rowOff>28575</xdr:rowOff>
        </xdr:from>
        <xdr:to>
          <xdr:col>19</xdr:col>
          <xdr:colOff>504825</xdr:colOff>
          <xdr:row>1</xdr:row>
          <xdr:rowOff>0</xdr:rowOff>
        </xdr:to>
        <xdr:sp macro="" textlink="">
          <xdr:nvSpPr>
            <xdr:cNvPr id="6254" name="Button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Conductance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104775</xdr:colOff>
          <xdr:row>1</xdr:row>
          <xdr:rowOff>28575</xdr:rowOff>
        </xdr:from>
        <xdr:to>
          <xdr:col>19</xdr:col>
          <xdr:colOff>504825</xdr:colOff>
          <xdr:row>2</xdr:row>
          <xdr:rowOff>0</xdr:rowOff>
        </xdr:to>
        <xdr:sp macro="" textlink="">
          <xdr:nvSpPr>
            <xdr:cNvPr id="6255" name="Button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Electrothermal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104775</xdr:colOff>
          <xdr:row>2</xdr:row>
          <xdr:rowOff>28575</xdr:rowOff>
        </xdr:from>
        <xdr:to>
          <xdr:col>19</xdr:col>
          <xdr:colOff>504825</xdr:colOff>
          <xdr:row>3</xdr:row>
          <xdr:rowOff>0</xdr:rowOff>
        </xdr:to>
        <xdr:sp macro="" textlink="">
          <xdr:nvSpPr>
            <xdr:cNvPr id="6256" name="Button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Bulk 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14</xdr:row>
          <xdr:rowOff>9525</xdr:rowOff>
        </xdr:from>
        <xdr:to>
          <xdr:col>5</xdr:col>
          <xdr:colOff>609600</xdr:colOff>
          <xdr:row>14</xdr:row>
          <xdr:rowOff>190500</xdr:rowOff>
        </xdr:to>
        <xdr:sp macro="" textlink="">
          <xdr:nvSpPr>
            <xdr:cNvPr id="6258" name="Button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13</xdr:row>
          <xdr:rowOff>190500</xdr:rowOff>
        </xdr:from>
        <xdr:to>
          <xdr:col>13</xdr:col>
          <xdr:colOff>9525</xdr:colOff>
          <xdr:row>14</xdr:row>
          <xdr:rowOff>180975</xdr:rowOff>
        </xdr:to>
        <xdr:sp macro="" textlink="">
          <xdr:nvSpPr>
            <xdr:cNvPr id="6259" name="Button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123825</xdr:rowOff>
        </xdr:from>
        <xdr:to>
          <xdr:col>2</xdr:col>
          <xdr:colOff>228600</xdr:colOff>
          <xdr:row>29</xdr:row>
          <xdr:rowOff>161925</xdr:rowOff>
        </xdr:to>
        <xdr:sp macro="" textlink="">
          <xdr:nvSpPr>
            <xdr:cNvPr id="6333" name="Button 189" hidden="1">
              <a:extLst>
                <a:ext uri="{63B3BB69-23CF-44E3-9099-C40C66FF867C}">
                  <a14:compatExt spid="_x0000_s6333"/>
                </a:ext>
                <a:ext uri="{FF2B5EF4-FFF2-40B4-BE49-F238E27FC236}">
                  <a16:creationId xmlns:a16="http://schemas.microsoft.com/office/drawing/2014/main" id="{00000000-0008-0000-0000-0000B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27</xdr:row>
          <xdr:rowOff>190500</xdr:rowOff>
        </xdr:from>
        <xdr:to>
          <xdr:col>6</xdr:col>
          <xdr:colOff>342900</xdr:colOff>
          <xdr:row>29</xdr:row>
          <xdr:rowOff>47625</xdr:rowOff>
        </xdr:to>
        <xdr:sp macro="" textlink="">
          <xdr:nvSpPr>
            <xdr:cNvPr id="6334" name="Button 190" hidden="1">
              <a:extLst>
                <a:ext uri="{63B3BB69-23CF-44E3-9099-C40C66FF867C}">
                  <a14:compatExt spid="_x0000_s6334"/>
                </a:ext>
                <a:ext uri="{FF2B5EF4-FFF2-40B4-BE49-F238E27FC236}">
                  <a16:creationId xmlns:a16="http://schemas.microsoft.com/office/drawing/2014/main" id="{00000000-0008-0000-0000-0000B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J0met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11</xdr:row>
          <xdr:rowOff>28575</xdr:rowOff>
        </xdr:from>
        <xdr:to>
          <xdr:col>7</xdr:col>
          <xdr:colOff>523875</xdr:colOff>
          <xdr:row>11</xdr:row>
          <xdr:rowOff>180975</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Fit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11</xdr:row>
          <xdr:rowOff>28575</xdr:rowOff>
        </xdr:from>
        <xdr:to>
          <xdr:col>15</xdr:col>
          <xdr:colOff>533400</xdr:colOff>
          <xdr:row>11</xdr:row>
          <xdr:rowOff>180975</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Fit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xdr:row>
          <xdr:rowOff>28575</xdr:rowOff>
        </xdr:from>
        <xdr:to>
          <xdr:col>3</xdr:col>
          <xdr:colOff>561975</xdr:colOff>
          <xdr:row>2</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 Default</a:t>
              </a:r>
            </a:p>
          </xdr:txBody>
        </xdr:sp>
        <xdr:clientData fPrintsWithSheet="0"/>
      </xdr:twoCellAnchor>
    </mc:Choice>
    <mc:Fallback/>
  </mc:AlternateContent>
  <xdr:twoCellAnchor>
    <xdr:from>
      <xdr:col>4</xdr:col>
      <xdr:colOff>47625</xdr:colOff>
      <xdr:row>15</xdr:row>
      <xdr:rowOff>38100</xdr:rowOff>
    </xdr:from>
    <xdr:to>
      <xdr:col>10</xdr:col>
      <xdr:colOff>561975</xdr:colOff>
      <xdr:row>28</xdr:row>
      <xdr:rowOff>9525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61912</xdr:colOff>
      <xdr:row>28</xdr:row>
      <xdr:rowOff>66675</xdr:rowOff>
    </xdr:from>
    <xdr:to>
      <xdr:col>10</xdr:col>
      <xdr:colOff>581025</xdr:colOff>
      <xdr:row>40</xdr:row>
      <xdr:rowOff>161925</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9525</xdr:colOff>
      <xdr:row>1</xdr:row>
      <xdr:rowOff>38100</xdr:rowOff>
    </xdr:from>
    <xdr:to>
      <xdr:col>18</xdr:col>
      <xdr:colOff>19050</xdr:colOff>
      <xdr:row>13</xdr:row>
      <xdr:rowOff>180975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15</xdr:row>
      <xdr:rowOff>47625</xdr:rowOff>
    </xdr:from>
    <xdr:to>
      <xdr:col>18</xdr:col>
      <xdr:colOff>19050</xdr:colOff>
      <xdr:row>28</xdr:row>
      <xdr:rowOff>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514350</xdr:colOff>
      <xdr:row>37</xdr:row>
      <xdr:rowOff>166687</xdr:rowOff>
    </xdr:from>
    <xdr:to>
      <xdr:col>17</xdr:col>
      <xdr:colOff>104775</xdr:colOff>
      <xdr:row>52</xdr:row>
      <xdr:rowOff>52387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4762</xdr:colOff>
      <xdr:row>3</xdr:row>
      <xdr:rowOff>38100</xdr:rowOff>
    </xdr:from>
    <xdr:to>
      <xdr:col>20</xdr:col>
      <xdr:colOff>285750</xdr:colOff>
      <xdr:row>17</xdr:row>
      <xdr:rowOff>114300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4761</xdr:colOff>
      <xdr:row>17</xdr:row>
      <xdr:rowOff>161925</xdr:rowOff>
    </xdr:from>
    <xdr:to>
      <xdr:col>20</xdr:col>
      <xdr:colOff>295274</xdr:colOff>
      <xdr:row>32</xdr:row>
      <xdr:rowOff>47625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66675</xdr:colOff>
          <xdr:row>25</xdr:row>
          <xdr:rowOff>66675</xdr:rowOff>
        </xdr:from>
        <xdr:to>
          <xdr:col>10</xdr:col>
          <xdr:colOff>790575</xdr:colOff>
          <xdr:row>27</xdr:row>
          <xdr:rowOff>142875</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4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3D Data</a:t>
              </a:r>
            </a:p>
          </xdr:txBody>
        </xdr:sp>
        <xdr:clientData fPrintsWithSheet="0"/>
      </xdr:twoCellAnchor>
    </mc:Choice>
    <mc:Fallback/>
  </mc:AlternateContent>
  <xdr:twoCellAnchor>
    <xdr:from>
      <xdr:col>60</xdr:col>
      <xdr:colOff>481853</xdr:colOff>
      <xdr:row>20</xdr:row>
      <xdr:rowOff>67236</xdr:rowOff>
    </xdr:from>
    <xdr:to>
      <xdr:col>67</xdr:col>
      <xdr:colOff>341741</xdr:colOff>
      <xdr:row>34</xdr:row>
      <xdr:rowOff>143436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28575</xdr:rowOff>
        </xdr:from>
        <xdr:to>
          <xdr:col>0</xdr:col>
          <xdr:colOff>571500</xdr:colOff>
          <xdr:row>3</xdr:row>
          <xdr:rowOff>161925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Image</a:t>
              </a:r>
            </a:p>
          </xdr:txBody>
        </xdr:sp>
        <xdr:clientData fPrintsWithSheet="0"/>
      </xdr:twoCellAnchor>
    </mc:Choice>
    <mc:Fallback/>
  </mc:AlternateContent>
  <xdr:twoCellAnchor>
    <xdr:from>
      <xdr:col>1</xdr:col>
      <xdr:colOff>310808</xdr:colOff>
      <xdr:row>2</xdr:row>
      <xdr:rowOff>38100</xdr:rowOff>
    </xdr:from>
    <xdr:to>
      <xdr:col>19</xdr:col>
      <xdr:colOff>337643</xdr:colOff>
      <xdr:row>5</xdr:row>
      <xdr:rowOff>13019</xdr:rowOff>
    </xdr:to>
    <xdr:grpSp>
      <xdr:nvGrpSpPr>
        <xdr:cNvPr id="30" name="Group 29">
          <a:extLst>
            <a:ext uri="{FF2B5EF4-FFF2-40B4-BE49-F238E27FC236}">
              <a16:creationId xmlns:a16="http://schemas.microsoft.com/office/drawing/2014/main" id="{00000000-0008-0000-0500-00001E000000}"/>
            </a:ext>
          </a:extLst>
        </xdr:cNvPr>
        <xdr:cNvGrpSpPr/>
      </xdr:nvGrpSpPr>
      <xdr:grpSpPr>
        <a:xfrm>
          <a:off x="901358" y="419100"/>
          <a:ext cx="10656735" cy="546419"/>
          <a:chOff x="11004208" y="2717800"/>
          <a:chExt cx="12142635" cy="3035301"/>
        </a:xfrm>
      </xdr:grpSpPr>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
          <a:srcRect l="12840" t="1619" r="12840" b="1619"/>
          <a:stretch>
            <a:fillRect/>
          </a:stretch>
        </xdr:blipFill>
        <xdr:spPr>
          <a:xfrm>
            <a:off x="11004208" y="2717800"/>
            <a:ext cx="3048684" cy="3035301"/>
          </a:xfrm>
          <a:prstGeom prst="rect">
            <a:avLst/>
          </a:prstGeom>
        </xdr:spPr>
      </xdr:pic>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
          <a:srcRect l="12840" t="1619" r="12840" b="1619"/>
          <a:stretch>
            <a:fillRect/>
          </a:stretch>
        </xdr:blipFill>
        <xdr:spPr>
          <a:xfrm flipH="1">
            <a:off x="14035525" y="2717800"/>
            <a:ext cx="3048684" cy="3035301"/>
          </a:xfrm>
          <a:prstGeom prst="rect">
            <a:avLst/>
          </a:prstGeom>
        </xdr:spPr>
      </xdr:pic>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
          <a:srcRect l="12840" t="1619" r="12840" b="1619"/>
          <a:stretch>
            <a:fillRect/>
          </a:stretch>
        </xdr:blipFill>
        <xdr:spPr>
          <a:xfrm>
            <a:off x="17066842" y="2717800"/>
            <a:ext cx="3048684" cy="3035301"/>
          </a:xfrm>
          <a:prstGeom prst="rect">
            <a:avLst/>
          </a:prstGeom>
        </xdr:spPr>
      </xdr:pic>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
          <a:srcRect l="12840" t="1619" r="12840" b="1619"/>
          <a:stretch>
            <a:fillRect/>
          </a:stretch>
        </xdr:blipFill>
        <xdr:spPr>
          <a:xfrm flipH="1">
            <a:off x="20098159" y="2717800"/>
            <a:ext cx="3048684" cy="3035301"/>
          </a:xfrm>
          <a:prstGeom prst="rect">
            <a:avLst/>
          </a:prstGeom>
        </xdr:spPr>
      </xdr:pic>
    </xdr:grpSp>
    <xdr:clientData/>
  </xdr:twoCellAnchor>
  <xdr:twoCellAnchor>
    <xdr:from>
      <xdr:col>19</xdr:col>
      <xdr:colOff>93882</xdr:colOff>
      <xdr:row>12</xdr:row>
      <xdr:rowOff>153792</xdr:rowOff>
    </xdr:from>
    <xdr:to>
      <xdr:col>38</xdr:col>
      <xdr:colOff>381184</xdr:colOff>
      <xdr:row>16</xdr:row>
      <xdr:rowOff>23377</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314332" y="2439792"/>
          <a:ext cx="11507752" cy="631585"/>
          <a:chOff x="11680092" y="2325491"/>
          <a:chExt cx="11865892" cy="3547683"/>
        </a:xfrm>
      </xdr:grpSpPr>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l="8745" t="1593" r="8745" b="1593"/>
          <a:stretch>
            <a:fillRect/>
          </a:stretch>
        </xdr:blipFill>
        <xdr:spPr>
          <a:xfrm>
            <a:off x="11680092" y="2775071"/>
            <a:ext cx="3081937" cy="3098103"/>
          </a:xfrm>
          <a:prstGeom prst="rect">
            <a:avLst/>
          </a:prstGeom>
        </xdr:spPr>
      </xdr:pic>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rcRect l="8745" t="1593" r="8745" b="1593"/>
          <a:stretch>
            <a:fillRect/>
          </a:stretch>
        </xdr:blipFill>
        <xdr:spPr>
          <a:xfrm flipH="1">
            <a:off x="14608712" y="2622671"/>
            <a:ext cx="3085747" cy="3101913"/>
          </a:xfrm>
          <a:prstGeom prst="rect">
            <a:avLst/>
          </a:prstGeom>
        </xdr:spPr>
      </xdr:pic>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rcRect l="8745" t="1593" r="8745" b="1593"/>
          <a:stretch>
            <a:fillRect/>
          </a:stretch>
        </xdr:blipFill>
        <xdr:spPr>
          <a:xfrm>
            <a:off x="17537332" y="2475986"/>
            <a:ext cx="3085747" cy="3088578"/>
          </a:xfrm>
          <a:prstGeom prst="rect">
            <a:avLst/>
          </a:prstGeom>
        </xdr:spPr>
      </xdr:pic>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rcRect l="8745" t="1593" r="8745" b="1593"/>
          <a:stretch>
            <a:fillRect/>
          </a:stretch>
        </xdr:blipFill>
        <xdr:spPr>
          <a:xfrm flipH="1">
            <a:off x="20462142" y="2325491"/>
            <a:ext cx="3083842" cy="3092388"/>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5</xdr:row>
          <xdr:rowOff>66675</xdr:rowOff>
        </xdr:from>
        <xdr:to>
          <xdr:col>0</xdr:col>
          <xdr:colOff>800100</xdr:colOff>
          <xdr:row>6</xdr:row>
          <xdr:rowOff>161925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800100</xdr:colOff>
          <xdr:row>3</xdr:row>
          <xdr:rowOff>28575</xdr:rowOff>
        </xdr:from>
        <xdr:to>
          <xdr:col>3</xdr:col>
          <xdr:colOff>1257300</xdr:colOff>
          <xdr:row>4</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7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28575</xdr:rowOff>
        </xdr:from>
        <xdr:to>
          <xdr:col>0</xdr:col>
          <xdr:colOff>809625</xdr:colOff>
          <xdr:row>16</xdr:row>
          <xdr:rowOff>152400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7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xdr:row>
          <xdr:rowOff>28575</xdr:rowOff>
        </xdr:from>
        <xdr:to>
          <xdr:col>4</xdr:col>
          <xdr:colOff>1181100</xdr:colOff>
          <xdr:row>3</xdr:row>
          <xdr:rowOff>180975</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700-00000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Default 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3</xdr:row>
          <xdr:rowOff>28575</xdr:rowOff>
        </xdr:from>
        <xdr:to>
          <xdr:col>5</xdr:col>
          <xdr:colOff>1181100</xdr:colOff>
          <xdr:row>3</xdr:row>
          <xdr:rowOff>180975</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7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Default IV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3</xdr:row>
          <xdr:rowOff>28575</xdr:rowOff>
        </xdr:from>
        <xdr:to>
          <xdr:col>6</xdr:col>
          <xdr:colOff>1181100</xdr:colOff>
          <xdr:row>3</xdr:row>
          <xdr:rowOff>180975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7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Default 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18</xdr:row>
          <xdr:rowOff>0</xdr:rowOff>
        </xdr:from>
        <xdr:to>
          <xdr:col>0</xdr:col>
          <xdr:colOff>809625</xdr:colOff>
          <xdr:row>18</xdr:row>
          <xdr:rowOff>180975</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700-00001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21</xdr:row>
          <xdr:rowOff>161925</xdr:rowOff>
        </xdr:from>
        <xdr:to>
          <xdr:col>0</xdr:col>
          <xdr:colOff>733425</xdr:colOff>
          <xdr:row>22</xdr:row>
          <xdr:rowOff>180975</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7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20</xdr:row>
          <xdr:rowOff>0</xdr:rowOff>
        </xdr:from>
        <xdr:to>
          <xdr:col>0</xdr:col>
          <xdr:colOff>828675</xdr:colOff>
          <xdr:row>21</xdr:row>
          <xdr:rowOff>0</xdr:rowOff>
        </xdr:to>
        <xdr:sp macro="" textlink="">
          <xdr:nvSpPr>
            <xdr:cNvPr id="16422" name="Button 38" hidden="1">
              <a:extLst>
                <a:ext uri="{63B3BB69-23CF-44E3-9099-C40C66FF867C}">
                  <a14:compatExt spid="_x0000_s16422"/>
                </a:ext>
                <a:ext uri="{FF2B5EF4-FFF2-40B4-BE49-F238E27FC236}">
                  <a16:creationId xmlns:a16="http://schemas.microsoft.com/office/drawing/2014/main" id="{00000000-0008-0000-0700-00002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2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B34"/>
  <sheetViews>
    <sheetView zoomScaleNormal="100" zoomScalePageLayoutView="98" workbookViewId="0">
      <selection activeCell="I1" sqref="I1"/>
    </sheetView>
  </sheetViews>
  <sheetFormatPr defaultColWidth="8.85546875" defaultRowHeight="15"/>
  <cols>
    <col min="1" max="1" width="12.85546875" style="7" customWidth="1"/>
    <col min="2" max="6" width="9.140625" style="7" customWidth="1"/>
    <col min="7" max="7" width="10" style="7" customWidth="1"/>
    <col min="8" max="9" width="9.140625" style="7" customWidth="1"/>
    <col min="10" max="10" width="3.7109375" style="7" customWidth="1"/>
    <col min="11" max="13" width="9.140625" style="7" customWidth="1"/>
    <col min="14" max="14" width="3.7109375" style="7" customWidth="1"/>
    <col min="15" max="20" width="9.140625" style="7" customWidth="1"/>
    <col min="21" max="21" width="11.140625" style="7" bestFit="1" customWidth="1"/>
    <col min="22" max="16384" width="8.85546875" style="7"/>
  </cols>
  <sheetData>
    <row r="1" spans="1:22" ht="15" customHeight="1">
      <c r="A1" s="212"/>
      <c r="B1" s="177" t="s">
        <v>180</v>
      </c>
      <c r="C1" s="228" t="s">
        <v>316</v>
      </c>
      <c r="D1" s="229"/>
      <c r="F1" s="32" t="s">
        <v>51</v>
      </c>
      <c r="G1" s="135">
        <v>0</v>
      </c>
      <c r="H1" s="163" t="s">
        <v>194</v>
      </c>
      <c r="I1" s="153" t="s">
        <v>195</v>
      </c>
      <c r="K1" s="219" t="s">
        <v>61</v>
      </c>
      <c r="L1" s="220"/>
      <c r="M1" s="221"/>
      <c r="O1" s="34"/>
      <c r="P1" s="35"/>
      <c r="Q1" s="36"/>
      <c r="R1" s="37"/>
      <c r="S1" s="29"/>
      <c r="T1" s="29"/>
    </row>
    <row r="2" spans="1:22" s="10" customFormat="1" ht="15" customHeight="1">
      <c r="A2" s="212"/>
      <c r="B2" s="230" t="s">
        <v>294</v>
      </c>
      <c r="C2" s="231"/>
      <c r="D2" s="167">
        <v>40</v>
      </c>
      <c r="F2" s="32" t="s">
        <v>53</v>
      </c>
      <c r="G2" s="109">
        <v>4.8756196755329453E-2</v>
      </c>
      <c r="H2" s="163" t="s">
        <v>62</v>
      </c>
      <c r="I2"/>
      <c r="J2" s="7"/>
      <c r="K2" s="222"/>
      <c r="L2" s="223"/>
      <c r="M2" s="224"/>
      <c r="O2" s="39"/>
      <c r="P2" s="39"/>
      <c r="Q2" s="40"/>
      <c r="R2" s="40"/>
      <c r="S2" s="41"/>
      <c r="T2" s="41"/>
      <c r="U2" s="7"/>
      <c r="V2" s="7"/>
    </row>
    <row r="3" spans="1:22" s="10" customFormat="1" ht="15" customHeight="1" thickBot="1">
      <c r="A3" s="212"/>
      <c r="B3" s="230" t="s">
        <v>234</v>
      </c>
      <c r="C3" s="231"/>
      <c r="D3" s="152">
        <v>1.0000000000000001E-5</v>
      </c>
      <c r="F3" s="32" t="s">
        <v>55</v>
      </c>
      <c r="G3" s="109">
        <v>0</v>
      </c>
      <c r="H3" s="163" t="s">
        <v>62</v>
      </c>
      <c r="I3"/>
      <c r="J3" s="7"/>
      <c r="K3" s="225"/>
      <c r="L3" s="226"/>
      <c r="M3" s="227"/>
      <c r="O3" s="39"/>
      <c r="P3" s="39"/>
      <c r="Q3" s="40"/>
      <c r="R3" s="40"/>
      <c r="S3" s="42"/>
      <c r="T3" s="42"/>
      <c r="U3" s="7"/>
      <c r="V3" s="7"/>
    </row>
    <row r="4" spans="1:22" ht="15" customHeight="1" thickBot="1">
      <c r="A4" s="212"/>
      <c r="B4" s="230" t="s">
        <v>235</v>
      </c>
      <c r="C4" s="231"/>
      <c r="D4" s="113"/>
      <c r="F4" s="32" t="s">
        <v>65</v>
      </c>
      <c r="G4" s="165"/>
      <c r="H4" s="7" t="s">
        <v>54</v>
      </c>
      <c r="O4" s="35"/>
      <c r="P4" s="43"/>
      <c r="Q4" s="44"/>
      <c r="R4" s="36"/>
      <c r="S4" s="45" t="s">
        <v>169</v>
      </c>
      <c r="T4" s="144" t="s">
        <v>114</v>
      </c>
    </row>
    <row r="5" spans="1:22" ht="15" customHeight="1" thickBot="1">
      <c r="A5" s="212"/>
      <c r="B5" s="230" t="s">
        <v>236</v>
      </c>
      <c r="C5" s="231"/>
      <c r="D5" s="114"/>
      <c r="F5" s="32" t="s">
        <v>66</v>
      </c>
      <c r="G5" s="109"/>
      <c r="H5" s="163" t="s">
        <v>63</v>
      </c>
      <c r="K5" s="213" t="s">
        <v>271</v>
      </c>
      <c r="L5" s="214"/>
      <c r="M5" s="215"/>
      <c r="O5" s="43"/>
      <c r="P5" s="46"/>
      <c r="Q5" s="47"/>
      <c r="R5" s="47"/>
      <c r="S5" s="45" t="s">
        <v>131</v>
      </c>
      <c r="T5" s="144" t="s">
        <v>165</v>
      </c>
    </row>
    <row r="6" spans="1:22" ht="15" customHeight="1" thickBot="1">
      <c r="A6" s="212"/>
      <c r="B6" s="230" t="s">
        <v>237</v>
      </c>
      <c r="C6" s="231"/>
      <c r="D6" s="115"/>
      <c r="F6" s="32" t="s">
        <v>215</v>
      </c>
      <c r="G6" s="109"/>
      <c r="H6" s="7" t="s">
        <v>64</v>
      </c>
      <c r="K6" s="216" t="s">
        <v>279</v>
      </c>
      <c r="L6" s="217"/>
      <c r="M6" s="218"/>
      <c r="O6" s="43" t="s">
        <v>168</v>
      </c>
      <c r="P6" s="142" t="s">
        <v>19</v>
      </c>
      <c r="Q6" s="47" t="s">
        <v>169</v>
      </c>
      <c r="R6" s="143" t="s">
        <v>163</v>
      </c>
      <c r="S6" s="48" t="s">
        <v>170</v>
      </c>
      <c r="T6" s="144" t="s">
        <v>114</v>
      </c>
    </row>
    <row r="7" spans="1:22" ht="15" customHeight="1" thickBot="1">
      <c r="B7" s="49"/>
      <c r="G7" s="14"/>
      <c r="H7" s="50"/>
    </row>
    <row r="8" spans="1:22" ht="15" customHeight="1" thickBot="1">
      <c r="A8" s="138" t="s">
        <v>57</v>
      </c>
      <c r="B8" s="104" t="s">
        <v>209</v>
      </c>
      <c r="C8" s="104"/>
      <c r="D8" s="104"/>
      <c r="E8" s="104"/>
      <c r="F8" s="104"/>
      <c r="G8" s="52"/>
      <c r="H8" s="52"/>
      <c r="I8" s="52"/>
      <c r="J8" s="172" t="s">
        <v>73</v>
      </c>
      <c r="K8" s="53" t="s">
        <v>85</v>
      </c>
      <c r="L8" s="54" t="s">
        <v>84</v>
      </c>
      <c r="M8" s="55" t="s">
        <v>86</v>
      </c>
      <c r="O8" s="211" t="s">
        <v>67</v>
      </c>
      <c r="P8" s="211"/>
      <c r="Q8" s="136"/>
      <c r="R8" s="210" t="s">
        <v>313</v>
      </c>
      <c r="S8" s="210"/>
      <c r="T8" s="180"/>
    </row>
    <row r="9" spans="1:22" ht="15" customHeight="1">
      <c r="A9" s="56" t="s">
        <v>58</v>
      </c>
      <c r="B9" s="57"/>
      <c r="F9" s="58"/>
      <c r="G9" s="77" t="s">
        <v>59</v>
      </c>
      <c r="I9" s="57"/>
      <c r="O9" s="32" t="s">
        <v>69</v>
      </c>
      <c r="P9" s="141" t="s">
        <v>95</v>
      </c>
      <c r="Q9" s="32" t="s">
        <v>70</v>
      </c>
      <c r="R9" s="117">
        <v>0</v>
      </c>
      <c r="S9" s="7" t="s">
        <v>2</v>
      </c>
      <c r="T9" s="179"/>
    </row>
    <row r="10" spans="1:22" ht="15" customHeight="1">
      <c r="A10" s="32" t="s">
        <v>100</v>
      </c>
      <c r="B10" s="141" t="s">
        <v>102</v>
      </c>
      <c r="C10" s="32" t="s">
        <v>112</v>
      </c>
      <c r="D10" s="111">
        <v>0.1523381694350662</v>
      </c>
      <c r="E10" s="7" t="s">
        <v>62</v>
      </c>
      <c r="G10" s="32" t="s">
        <v>110</v>
      </c>
      <c r="H10" s="141" t="s">
        <v>18</v>
      </c>
      <c r="K10" s="32" t="s">
        <v>186</v>
      </c>
      <c r="L10" s="141" t="s">
        <v>192</v>
      </c>
      <c r="O10" s="32" t="s">
        <v>78</v>
      </c>
      <c r="P10" s="115" t="s">
        <v>8</v>
      </c>
      <c r="Q10" s="59" t="s">
        <v>75</v>
      </c>
      <c r="R10" s="116">
        <v>7281053519145112</v>
      </c>
      <c r="S10" s="59" t="s">
        <v>76</v>
      </c>
      <c r="T10" s="24">
        <v>7437236706459168</v>
      </c>
    </row>
    <row r="11" spans="1:22" ht="15" customHeight="1">
      <c r="A11" s="32" t="s">
        <v>96</v>
      </c>
      <c r="B11" s="161">
        <v>8</v>
      </c>
      <c r="C11" s="32" t="s">
        <v>106</v>
      </c>
      <c r="D11" s="112">
        <v>0.69932959617670942</v>
      </c>
      <c r="E11" s="7" t="s">
        <v>52</v>
      </c>
      <c r="G11" s="32" t="s">
        <v>75</v>
      </c>
      <c r="H11" s="108">
        <v>300</v>
      </c>
      <c r="I11" s="7" t="s">
        <v>56</v>
      </c>
      <c r="K11" s="209" t="s">
        <v>113</v>
      </c>
      <c r="L11" s="209"/>
      <c r="O11" s="26"/>
      <c r="P11" s="26"/>
      <c r="Q11" s="26"/>
      <c r="R11" s="26"/>
      <c r="T11" s="26"/>
    </row>
    <row r="12" spans="1:22" ht="15" customHeight="1">
      <c r="A12" s="32" t="s">
        <v>105</v>
      </c>
      <c r="B12" s="162">
        <v>0.8</v>
      </c>
      <c r="C12" s="32" t="s">
        <v>142</v>
      </c>
      <c r="D12" s="111">
        <v>0</v>
      </c>
      <c r="E12" s="7" t="s">
        <v>68</v>
      </c>
      <c r="G12" s="32" t="s">
        <v>76</v>
      </c>
      <c r="H12" s="108">
        <v>1200</v>
      </c>
      <c r="I12" s="163" t="s">
        <v>56</v>
      </c>
      <c r="K12" s="38">
        <v>3.9578528090874754E-2</v>
      </c>
      <c r="L12" s="163" t="s">
        <v>62</v>
      </c>
      <c r="M12" s="60"/>
      <c r="O12" s="27">
        <v>10</v>
      </c>
      <c r="P12" s="27" t="s">
        <v>102</v>
      </c>
      <c r="Q12" s="27" t="s">
        <v>18</v>
      </c>
      <c r="R12" s="27" t="s">
        <v>72</v>
      </c>
      <c r="S12" s="27" t="s">
        <v>49</v>
      </c>
      <c r="T12" s="61" t="s">
        <v>50</v>
      </c>
    </row>
    <row r="13" spans="1:22" ht="15" customHeight="1">
      <c r="A13" s="32" t="s">
        <v>144</v>
      </c>
      <c r="B13" s="109">
        <v>0.3</v>
      </c>
      <c r="C13" s="163" t="s">
        <v>68</v>
      </c>
      <c r="D13" s="112">
        <v>0</v>
      </c>
      <c r="E13" s="163" t="s">
        <v>60</v>
      </c>
      <c r="G13" s="32" t="s">
        <v>111</v>
      </c>
      <c r="H13" s="108">
        <v>18</v>
      </c>
      <c r="O13" s="27">
        <v>20</v>
      </c>
      <c r="P13" s="27" t="s">
        <v>103</v>
      </c>
      <c r="Q13" s="27" t="s">
        <v>19</v>
      </c>
      <c r="R13" s="27" t="s">
        <v>95</v>
      </c>
      <c r="S13" s="27" t="s">
        <v>24</v>
      </c>
      <c r="T13" s="61" t="s">
        <v>2</v>
      </c>
    </row>
    <row r="14" spans="1:22" ht="15" customHeight="1">
      <c r="A14" s="32" t="s">
        <v>143</v>
      </c>
      <c r="B14" s="110">
        <v>0</v>
      </c>
      <c r="C14" s="163" t="s">
        <v>50</v>
      </c>
      <c r="D14" s="179"/>
      <c r="E14" s="179"/>
      <c r="G14" s="32" t="s">
        <v>97</v>
      </c>
      <c r="H14" s="108">
        <v>0.35</v>
      </c>
      <c r="I14" s="7" t="s">
        <v>116</v>
      </c>
      <c r="K14" s="179"/>
      <c r="L14" s="179"/>
      <c r="O14" s="27">
        <v>40</v>
      </c>
      <c r="P14" s="27" t="s">
        <v>101</v>
      </c>
      <c r="Q14" s="27"/>
      <c r="R14" s="27" t="s">
        <v>71</v>
      </c>
      <c r="S14" s="27"/>
      <c r="T14" s="62" t="s">
        <v>46</v>
      </c>
    </row>
    <row r="15" spans="1:22" ht="15" customHeight="1">
      <c r="A15" s="51"/>
      <c r="B15" s="171" t="s">
        <v>314</v>
      </c>
      <c r="D15" s="179"/>
      <c r="E15" s="179"/>
      <c r="H15" s="63"/>
      <c r="K15" s="179"/>
      <c r="L15" s="179"/>
      <c r="O15" s="27" t="s">
        <v>216</v>
      </c>
      <c r="P15" s="27" t="s">
        <v>104</v>
      </c>
      <c r="Q15" s="150">
        <v>1E-3</v>
      </c>
      <c r="R15" s="164"/>
      <c r="S15" s="27"/>
      <c r="T15" s="26"/>
    </row>
    <row r="16" spans="1:22" ht="15" customHeight="1">
      <c r="D16" s="8"/>
      <c r="E16" s="8"/>
      <c r="G16" s="8"/>
      <c r="H16" s="8"/>
      <c r="O16" s="164"/>
      <c r="Q16" s="150">
        <v>1E-4</v>
      </c>
      <c r="S16" s="28" t="s">
        <v>95</v>
      </c>
      <c r="T16" s="26"/>
    </row>
    <row r="17" spans="3:28" ht="15" customHeight="1">
      <c r="O17" s="26"/>
      <c r="P17" s="26"/>
      <c r="Q17" s="151">
        <v>1.0000000000000001E-5</v>
      </c>
      <c r="S17" s="26"/>
      <c r="T17" s="26"/>
      <c r="U17" s="51"/>
    </row>
    <row r="18" spans="3:28" ht="15" customHeight="1">
      <c r="P18" s="27" t="s">
        <v>172</v>
      </c>
      <c r="Q18" s="27" t="s">
        <v>172</v>
      </c>
      <c r="R18" s="27" t="s">
        <v>165</v>
      </c>
      <c r="S18" s="27" t="s">
        <v>164</v>
      </c>
      <c r="T18" s="140" t="s">
        <v>185</v>
      </c>
    </row>
    <row r="19" spans="3:28" ht="15" customHeight="1">
      <c r="P19" s="27" t="s">
        <v>171</v>
      </c>
      <c r="Q19" s="27" t="s">
        <v>171</v>
      </c>
      <c r="R19" s="27" t="s">
        <v>166</v>
      </c>
      <c r="S19" s="27" t="s">
        <v>173</v>
      </c>
      <c r="T19" s="140" t="s">
        <v>192</v>
      </c>
    </row>
    <row r="20" spans="3:28" ht="15" customHeight="1">
      <c r="C20" s="9"/>
      <c r="P20" s="27" t="s">
        <v>163</v>
      </c>
      <c r="Q20" s="27" t="s">
        <v>114</v>
      </c>
      <c r="R20" s="27" t="s">
        <v>167</v>
      </c>
      <c r="S20" s="27" t="s">
        <v>114</v>
      </c>
      <c r="T20" s="26"/>
    </row>
    <row r="21" spans="3:28" ht="15" customHeight="1">
      <c r="C21" s="9"/>
      <c r="P21" s="27"/>
      <c r="Q21" s="27"/>
      <c r="R21" s="27" t="s">
        <v>114</v>
      </c>
      <c r="S21" s="27"/>
      <c r="T21" s="26"/>
      <c r="U21" s="51"/>
    </row>
    <row r="22" spans="3:28" ht="15" customHeight="1">
      <c r="C22" s="9"/>
      <c r="O22" s="26"/>
      <c r="P22" s="26"/>
      <c r="Q22" s="26"/>
      <c r="R22" s="26"/>
      <c r="S22" s="26"/>
      <c r="T22" s="26"/>
    </row>
    <row r="23" spans="3:28" ht="15" customHeight="1">
      <c r="C23" s="9"/>
      <c r="L23" s="9"/>
      <c r="O23" s="26"/>
      <c r="P23" s="26" t="s">
        <v>187</v>
      </c>
      <c r="Q23" s="26" t="s">
        <v>196</v>
      </c>
      <c r="R23" s="26" t="s">
        <v>159</v>
      </c>
      <c r="S23" s="26" t="s">
        <v>190</v>
      </c>
      <c r="T23" s="26" t="s">
        <v>197</v>
      </c>
    </row>
    <row r="24" spans="3:28" ht="15" customHeight="1">
      <c r="C24" s="9"/>
      <c r="L24" s="9"/>
      <c r="O24" s="26"/>
      <c r="P24" s="26" t="s">
        <v>188</v>
      </c>
      <c r="Q24" s="26" t="s">
        <v>195</v>
      </c>
      <c r="R24" s="26" t="s">
        <v>189</v>
      </c>
      <c r="S24" s="26" t="s">
        <v>191</v>
      </c>
      <c r="T24" s="26" t="s">
        <v>198</v>
      </c>
      <c r="U24" s="50"/>
    </row>
    <row r="25" spans="3:28" ht="15" customHeight="1">
      <c r="L25" s="9"/>
      <c r="O25" s="26"/>
      <c r="P25" s="26"/>
      <c r="Q25" s="26"/>
      <c r="R25" s="26"/>
      <c r="S25" s="26"/>
      <c r="T25" s="26" t="s">
        <v>199</v>
      </c>
      <c r="U25" s="50"/>
    </row>
    <row r="26" spans="3:28" ht="15" customHeight="1">
      <c r="L26" s="9"/>
      <c r="O26" s="26"/>
      <c r="P26" s="26"/>
      <c r="Q26" s="26"/>
      <c r="R26" s="26"/>
      <c r="S26" s="26"/>
      <c r="T26" s="26"/>
    </row>
    <row r="27" spans="3:28" ht="15" customHeight="1"/>
    <row r="29" spans="3:28">
      <c r="D29" s="58" t="s">
        <v>305</v>
      </c>
      <c r="E29" s="7">
        <v>50</v>
      </c>
      <c r="Q29" s="7" t="s">
        <v>310</v>
      </c>
      <c r="U29" s="7" t="s">
        <v>309</v>
      </c>
    </row>
    <row r="30" spans="3:28">
      <c r="D30" s="49"/>
      <c r="P30" s="7" t="s">
        <v>306</v>
      </c>
      <c r="Q30" s="59" t="s">
        <v>75</v>
      </c>
      <c r="R30" s="7">
        <v>6.5004550555135713E+18</v>
      </c>
      <c r="S30" s="7" t="s">
        <v>76</v>
      </c>
      <c r="T30" s="7">
        <v>7.5195022731298038E+18</v>
      </c>
      <c r="U30" s="7" t="s">
        <v>75</v>
      </c>
      <c r="V30" s="7">
        <v>1.2598834081898688E+16</v>
      </c>
      <c r="W30" s="7" t="s">
        <v>76</v>
      </c>
      <c r="X30" s="7">
        <v>1.3435169643888704E+16</v>
      </c>
      <c r="AA30" s="7">
        <f>+V30/R30</f>
        <v>1.9381464796395414E-3</v>
      </c>
      <c r="AB30" s="7">
        <f>+X30/T30</f>
        <v>1.7867099650861137E-3</v>
      </c>
    </row>
    <row r="31" spans="3:28">
      <c r="D31" s="49"/>
      <c r="P31" s="7" t="s">
        <v>307</v>
      </c>
      <c r="Q31" s="7" t="s">
        <v>75</v>
      </c>
      <c r="R31" s="7">
        <v>2.9855342867454679E+18</v>
      </c>
      <c r="S31" s="7" t="s">
        <v>76</v>
      </c>
      <c r="T31" s="7">
        <v>3.2863814351178368E+18</v>
      </c>
      <c r="U31" s="7" t="s">
        <v>75</v>
      </c>
      <c r="V31" s="7">
        <v>8685583372580704</v>
      </c>
      <c r="W31" s="7" t="s">
        <v>76</v>
      </c>
      <c r="X31" s="7">
        <v>9122286232934184</v>
      </c>
      <c r="Z31" s="7" t="s">
        <v>308</v>
      </c>
      <c r="AA31" s="7">
        <f>+V31/R31</f>
        <v>2.90922245011256E-3</v>
      </c>
      <c r="AB31" s="7">
        <f>+X31/T31</f>
        <v>2.7757843734919634E-3</v>
      </c>
    </row>
    <row r="32" spans="3:28">
      <c r="D32" s="49"/>
    </row>
    <row r="33" spans="4:4">
      <c r="D33" s="49"/>
    </row>
    <row r="34" spans="4:4">
      <c r="D34" s="49"/>
    </row>
  </sheetData>
  <mergeCells count="13">
    <mergeCell ref="K11:L11"/>
    <mergeCell ref="R8:S8"/>
    <mergeCell ref="O8:P8"/>
    <mergeCell ref="A1:A6"/>
    <mergeCell ref="K5:M5"/>
    <mergeCell ref="K6:M6"/>
    <mergeCell ref="K1:M3"/>
    <mergeCell ref="C1:D1"/>
    <mergeCell ref="B2:C2"/>
    <mergeCell ref="B3:C3"/>
    <mergeCell ref="B4:C4"/>
    <mergeCell ref="B5:C5"/>
    <mergeCell ref="B6:C6"/>
  </mergeCells>
  <phoneticPr fontId="19" type="noConversion"/>
  <conditionalFormatting sqref="P10">
    <cfRule type="cellIs" dxfId="6" priority="8" operator="equal">
      <formula>"Unsolved"</formula>
    </cfRule>
  </conditionalFormatting>
  <dataValidations count="21">
    <dataValidation type="list" showErrorMessage="1" error="Voltages must be decimal values." sqref="B10" xr:uid="{00000000-0002-0000-0000-000000000000}">
      <formula1>P12:P15</formula1>
    </dataValidation>
    <dataValidation type="decimal" showInputMessage="1" showErrorMessage="1" error="Must be a decimal value between 0.1 and 2 volts, inclusive." sqref="B12" xr:uid="{00000000-0002-0000-0000-000001000000}">
      <formula1>0.1</formula1>
      <formula2>2</formula2>
    </dataValidation>
    <dataValidation type="list" showErrorMessage="1" sqref="D2" xr:uid="{00000000-0002-0000-0000-000002000000}">
      <formula1>O12:O15</formula1>
    </dataValidation>
    <dataValidation type="list" showInputMessage="1" error="Must be between 1E-9 and 1E-2, inclusive." sqref="D3" xr:uid="{00000000-0002-0000-0000-000003000000}">
      <formula1>$Q$15:$Q$17</formula1>
    </dataValidation>
    <dataValidation type="decimal" operator="greaterThanOrEqual" allowBlank="1" showInputMessage="1" showErrorMessage="1" error="Must be non-negative." sqref="B13" xr:uid="{00000000-0002-0000-0000-000004000000}">
      <formula1>0</formula1>
    </dataValidation>
    <dataValidation type="whole" showInputMessage="1" showErrorMessage="1" error="Must be a positive integer between 4 and 49, inclusive." sqref="B11" xr:uid="{00000000-0002-0000-0000-000005000000}">
      <formula1>4</formula1>
      <formula2>49</formula2>
    </dataValidation>
    <dataValidation type="decimal" operator="greaterThan" allowBlank="1" showInputMessage="1" showErrorMessage="1" error="Must be greater than zero." sqref="B14" xr:uid="{00000000-0002-0000-0000-000006000000}">
      <formula1>0</formula1>
    </dataValidation>
    <dataValidation type="decimal" showInputMessage="1" showErrorMessage="1" error="Voltages must be decimal values between 0 and 2 volts, inclusive." sqref="G1" xr:uid="{00000000-0002-0000-0000-000007000000}">
      <formula1>0</formula1>
      <formula2>2</formula2>
    </dataValidation>
    <dataValidation type="decimal" allowBlank="1" showInputMessage="1" showErrorMessage="1" error="Must be between 100 and 5000 nm, inclusive." sqref="H11:H12" xr:uid="{00000000-0002-0000-0000-000008000000}">
      <formula1>100</formula1>
      <formula2>5000</formula2>
    </dataValidation>
    <dataValidation type="whole" allowBlank="1" showInputMessage="1" showErrorMessage="1" error="Must be a positive integer between 2 and 50, inclusive." sqref="H13" xr:uid="{00000000-0002-0000-0000-000009000000}">
      <formula1>2</formula1>
      <formula2>50</formula2>
    </dataValidation>
    <dataValidation type="decimal" allowBlank="1" showInputMessage="1" showErrorMessage="1" error="Must be a decimal value between 0 and 1000 suns, inclusive." sqref="H14" xr:uid="{00000000-0002-0000-0000-00000A000000}">
      <formula1>0</formula1>
      <formula2>1000</formula2>
    </dataValidation>
    <dataValidation allowBlank="1" showInputMessage="1" showErrorMessage="1" error="Must be a decimal value between 0 and 1000 mm, inclusive." sqref="R9" xr:uid="{00000000-0002-0000-0000-00000B000000}"/>
    <dataValidation type="list" showErrorMessage="1" sqref="H10" xr:uid="{00000000-0002-0000-0000-00000D000000}">
      <formula1>Q12:Q13</formula1>
    </dataValidation>
    <dataValidation type="list" showErrorMessage="1" sqref="P9" xr:uid="{00000000-0002-0000-0000-00000E000000}">
      <formula1>R12:R14</formula1>
    </dataValidation>
    <dataValidation type="list" showErrorMessage="1" sqref="P6" xr:uid="{00000000-0002-0000-0000-00000F000000}">
      <formula1>Q12:Q13</formula1>
    </dataValidation>
    <dataValidation type="list" allowBlank="1" showErrorMessage="1" sqref="R6" xr:uid="{00000000-0002-0000-0000-000010000000}">
      <formula1>P18:P20</formula1>
    </dataValidation>
    <dataValidation type="list" showErrorMessage="1" sqref="T4" xr:uid="{00000000-0002-0000-0000-000011000000}">
      <formula1>Q18:Q20</formula1>
    </dataValidation>
    <dataValidation type="list" showErrorMessage="1" sqref="T5" xr:uid="{00000000-0002-0000-0000-000012000000}">
      <formula1>R18:R21</formula1>
    </dataValidation>
    <dataValidation type="list" showErrorMessage="1" sqref="T6" xr:uid="{00000000-0002-0000-0000-000013000000}">
      <formula1>S18:S20</formula1>
    </dataValidation>
    <dataValidation type="list" allowBlank="1" showInputMessage="1" showErrorMessage="1" sqref="L10" xr:uid="{33A626C5-1178-4468-A9DE-A90E8F2B46C2}">
      <formula1>$T$18:$T$19</formula1>
    </dataValidation>
    <dataValidation type="list" showInputMessage="1" showErrorMessage="1" sqref="I1" xr:uid="{D350AAC1-74B2-44F2-BF56-B34EF3776B38}">
      <formula1>$Q$23:$Q$24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croIV">
                <anchor moveWithCells="1" sizeWithCells="1">
                  <from>
                    <xdr:col>3</xdr:col>
                    <xdr:colOff>104775</xdr:colOff>
                    <xdr:row>13</xdr:row>
                    <xdr:rowOff>66675</xdr:rowOff>
                  </from>
                  <to>
                    <xdr:col>4</xdr:col>
                    <xdr:colOff>561975</xdr:colOff>
                    <xdr:row>14</xdr:row>
                    <xdr:rowOff>142875</xdr:rowOff>
                  </to>
                </anchor>
              </controlPr>
            </control>
          </mc:Choice>
        </mc:AlternateContent>
        <mc:AlternateContent xmlns:mc="http://schemas.openxmlformats.org/markup-compatibility/2006">
          <mc:Choice Requires="x14">
            <control shapeId="6146" r:id="rId5" name="Button 2">
              <controlPr defaultSize="0" print="0" autoFill="0" autoPict="0" macro="[0]!MacroEQE">
                <anchor moveWithCells="1" sizeWithCells="1">
                  <from>
                    <xdr:col>10</xdr:col>
                    <xdr:colOff>85725</xdr:colOff>
                    <xdr:row>13</xdr:row>
                    <xdr:rowOff>66675</xdr:rowOff>
                  </from>
                  <to>
                    <xdr:col>11</xdr:col>
                    <xdr:colOff>542925</xdr:colOff>
                    <xdr:row>14</xdr:row>
                    <xdr:rowOff>152400</xdr:rowOff>
                  </to>
                </anchor>
              </controlPr>
            </control>
          </mc:Choice>
        </mc:AlternateContent>
        <mc:AlternateContent xmlns:mc="http://schemas.openxmlformats.org/markup-compatibility/2006">
          <mc:Choice Requires="x14">
            <control shapeId="6149" r:id="rId6" name="Button 5">
              <controlPr defaultSize="0" print="0" autoFill="0" autoPict="0" macro="[0]!Solve">
                <anchor moveWithCells="1" sizeWithCells="1">
                  <from>
                    <xdr:col>0</xdr:col>
                    <xdr:colOff>66675</xdr:colOff>
                    <xdr:row>3</xdr:row>
                    <xdr:rowOff>85725</xdr:rowOff>
                  </from>
                  <to>
                    <xdr:col>0</xdr:col>
                    <xdr:colOff>809625</xdr:colOff>
                    <xdr:row>5</xdr:row>
                    <xdr:rowOff>161925</xdr:rowOff>
                  </to>
                </anchor>
              </controlPr>
            </control>
          </mc:Choice>
        </mc:AlternateContent>
        <mc:AlternateContent xmlns:mc="http://schemas.openxmlformats.org/markup-compatibility/2006">
          <mc:Choice Requires="x14">
            <control shapeId="6170" r:id="rId7" name="Button 26">
              <controlPr defaultSize="0" print="0" autoFill="0" autoPict="0" macro="[0]!ScanPlot">
                <anchor moveWithCells="1" sizeWithCells="1">
                  <from>
                    <xdr:col>19</xdr:col>
                    <xdr:colOff>47625</xdr:colOff>
                    <xdr:row>7</xdr:row>
                    <xdr:rowOff>47625</xdr:rowOff>
                  </from>
                  <to>
                    <xdr:col>19</xdr:col>
                    <xdr:colOff>561975</xdr:colOff>
                    <xdr:row>8</xdr:row>
                    <xdr:rowOff>142875</xdr:rowOff>
                  </to>
                </anchor>
              </controlPr>
            </control>
          </mc:Choice>
        </mc:AlternateContent>
        <mc:AlternateContent xmlns:mc="http://schemas.openxmlformats.org/markup-compatibility/2006">
          <mc:Choice Requires="x14">
            <control shapeId="6215" r:id="rId8" name="Button 71">
              <controlPr defaultSize="0" print="0" autoFill="0" autoPict="0" macro="[0]!LoadFile">
                <anchor moveWithCells="1" sizeWithCells="1">
                  <from>
                    <xdr:col>0</xdr:col>
                    <xdr:colOff>66675</xdr:colOff>
                    <xdr:row>0</xdr:row>
                    <xdr:rowOff>38100</xdr:rowOff>
                  </from>
                  <to>
                    <xdr:col>0</xdr:col>
                    <xdr:colOff>800100</xdr:colOff>
                    <xdr:row>1</xdr:row>
                    <xdr:rowOff>104775</xdr:rowOff>
                  </to>
                </anchor>
              </controlPr>
            </control>
          </mc:Choice>
        </mc:AlternateContent>
        <mc:AlternateContent xmlns:mc="http://schemas.openxmlformats.org/markup-compatibility/2006">
          <mc:Choice Requires="x14">
            <control shapeId="6216" r:id="rId9" name="Button 72">
              <controlPr defaultSize="0" print="0" autoFill="0" autoPict="0" macro="[0]!SaveFile">
                <anchor moveWithCells="1" sizeWithCells="1">
                  <from>
                    <xdr:col>0</xdr:col>
                    <xdr:colOff>66675</xdr:colOff>
                    <xdr:row>1</xdr:row>
                    <xdr:rowOff>152400</xdr:rowOff>
                  </from>
                  <to>
                    <xdr:col>0</xdr:col>
                    <xdr:colOff>809625</xdr:colOff>
                    <xdr:row>3</xdr:row>
                    <xdr:rowOff>28575</xdr:rowOff>
                  </to>
                </anchor>
              </controlPr>
            </control>
          </mc:Choice>
        </mc:AlternateContent>
        <mc:AlternateContent xmlns:mc="http://schemas.openxmlformats.org/markup-compatibility/2006">
          <mc:Choice Requires="x14">
            <control shapeId="6217" r:id="rId10" name="Button 73">
              <controlPr defaultSize="0" print="0" autoFill="0" autoPict="0" macro="[0]!OnResetAll">
                <anchor moveWithCells="1" sizeWithCells="1">
                  <from>
                    <xdr:col>11</xdr:col>
                    <xdr:colOff>38100</xdr:colOff>
                    <xdr:row>3</xdr:row>
                    <xdr:rowOff>28575</xdr:rowOff>
                  </from>
                  <to>
                    <xdr:col>11</xdr:col>
                    <xdr:colOff>533400</xdr:colOff>
                    <xdr:row>3</xdr:row>
                    <xdr:rowOff>180975</xdr:rowOff>
                  </to>
                </anchor>
              </controlPr>
            </control>
          </mc:Choice>
        </mc:AlternateContent>
        <mc:AlternateContent xmlns:mc="http://schemas.openxmlformats.org/markup-compatibility/2006">
          <mc:Choice Requires="x14">
            <control shapeId="6232" r:id="rId11" name="Button 88">
              <controlPr defaultSize="0" print="0" autoFill="0" autoPict="0" macro="[0]!PlotLayout">
                <anchor moveWithCells="1" sizeWithCells="1">
                  <from>
                    <xdr:col>14</xdr:col>
                    <xdr:colOff>104775</xdr:colOff>
                    <xdr:row>0</xdr:row>
                    <xdr:rowOff>28575</xdr:rowOff>
                  </from>
                  <to>
                    <xdr:col>15</xdr:col>
                    <xdr:colOff>504825</xdr:colOff>
                    <xdr:row>1</xdr:row>
                    <xdr:rowOff>0</xdr:rowOff>
                  </to>
                </anchor>
              </controlPr>
            </control>
          </mc:Choice>
        </mc:AlternateContent>
        <mc:AlternateContent xmlns:mc="http://schemas.openxmlformats.org/markup-compatibility/2006">
          <mc:Choice Requires="x14">
            <control shapeId="6245" r:id="rId12" name="Button 101">
              <controlPr defaultSize="0" print="0" autoFill="0" autoPict="0" macro="[0]!PlotIllumination">
                <anchor moveWithCells="1" sizeWithCells="1">
                  <from>
                    <xdr:col>14</xdr:col>
                    <xdr:colOff>104775</xdr:colOff>
                    <xdr:row>1</xdr:row>
                    <xdr:rowOff>28575</xdr:rowOff>
                  </from>
                  <to>
                    <xdr:col>15</xdr:col>
                    <xdr:colOff>504825</xdr:colOff>
                    <xdr:row>2</xdr:row>
                    <xdr:rowOff>0</xdr:rowOff>
                  </to>
                </anchor>
              </controlPr>
            </control>
          </mc:Choice>
        </mc:AlternateContent>
        <mc:AlternateContent xmlns:mc="http://schemas.openxmlformats.org/markup-compatibility/2006">
          <mc:Choice Requires="x14">
            <control shapeId="6246" r:id="rId13" name="Button 102">
              <controlPr defaultSize="0" print="0" autoFill="0" autoPict="0" macro="[0]!PlotSurfaceRecomb">
                <anchor moveWithCells="1" sizeWithCells="1">
                  <from>
                    <xdr:col>14</xdr:col>
                    <xdr:colOff>104775</xdr:colOff>
                    <xdr:row>2</xdr:row>
                    <xdr:rowOff>28575</xdr:rowOff>
                  </from>
                  <to>
                    <xdr:col>15</xdr:col>
                    <xdr:colOff>504825</xdr:colOff>
                    <xdr:row>3</xdr:row>
                    <xdr:rowOff>0</xdr:rowOff>
                  </to>
                </anchor>
              </controlPr>
            </control>
          </mc:Choice>
        </mc:AlternateContent>
        <mc:AlternateContent xmlns:mc="http://schemas.openxmlformats.org/markup-compatibility/2006">
          <mc:Choice Requires="x14">
            <control shapeId="6247" r:id="rId14" name="Button 103">
              <controlPr defaultSize="0" print="0" autoFill="0" autoPict="0" macro="[0]!PlotSurfaceCurrent">
                <anchor moveWithCells="1" sizeWithCells="1">
                  <from>
                    <xdr:col>14</xdr:col>
                    <xdr:colOff>104775</xdr:colOff>
                    <xdr:row>3</xdr:row>
                    <xdr:rowOff>28575</xdr:rowOff>
                  </from>
                  <to>
                    <xdr:col>15</xdr:col>
                    <xdr:colOff>504825</xdr:colOff>
                    <xdr:row>4</xdr:row>
                    <xdr:rowOff>0</xdr:rowOff>
                  </to>
                </anchor>
              </controlPr>
            </control>
          </mc:Choice>
        </mc:AlternateContent>
        <mc:AlternateContent xmlns:mc="http://schemas.openxmlformats.org/markup-compatibility/2006">
          <mc:Choice Requires="x14">
            <control shapeId="6248" r:id="rId15" name="Button 104">
              <controlPr defaultSize="0" print="0" autoFill="0" autoPict="0" macro="[0]!PlotLuminescence">
                <anchor moveWithCells="1" sizeWithCells="1">
                  <from>
                    <xdr:col>14</xdr:col>
                    <xdr:colOff>104775</xdr:colOff>
                    <xdr:row>4</xdr:row>
                    <xdr:rowOff>28575</xdr:rowOff>
                  </from>
                  <to>
                    <xdr:col>15</xdr:col>
                    <xdr:colOff>504825</xdr:colOff>
                    <xdr:row>5</xdr:row>
                    <xdr:rowOff>0</xdr:rowOff>
                  </to>
                </anchor>
              </controlPr>
            </control>
          </mc:Choice>
        </mc:AlternateContent>
        <mc:AlternateContent xmlns:mc="http://schemas.openxmlformats.org/markup-compatibility/2006">
          <mc:Choice Requires="x14">
            <control shapeId="6249" r:id="rId16" name="Button 105">
              <controlPr defaultSize="0" print="0" autoFill="0" autoPict="0" macro="[0]!PlotGeneration">
                <anchor moveWithCells="1" sizeWithCells="1">
                  <from>
                    <xdr:col>16</xdr:col>
                    <xdr:colOff>104775</xdr:colOff>
                    <xdr:row>0</xdr:row>
                    <xdr:rowOff>28575</xdr:rowOff>
                  </from>
                  <to>
                    <xdr:col>17</xdr:col>
                    <xdr:colOff>504825</xdr:colOff>
                    <xdr:row>1</xdr:row>
                    <xdr:rowOff>0</xdr:rowOff>
                  </to>
                </anchor>
              </controlPr>
            </control>
          </mc:Choice>
        </mc:AlternateContent>
        <mc:AlternateContent xmlns:mc="http://schemas.openxmlformats.org/markup-compatibility/2006">
          <mc:Choice Requires="x14">
            <control shapeId="6250" r:id="rId17" name="Button 106">
              <controlPr defaultSize="0" print="0" autoFill="0" autoPict="0" macro="[0]!PlotRecombination">
                <anchor moveWithCells="1" sizeWithCells="1">
                  <from>
                    <xdr:col>16</xdr:col>
                    <xdr:colOff>104775</xdr:colOff>
                    <xdr:row>1</xdr:row>
                    <xdr:rowOff>28575</xdr:rowOff>
                  </from>
                  <to>
                    <xdr:col>17</xdr:col>
                    <xdr:colOff>504825</xdr:colOff>
                    <xdr:row>2</xdr:row>
                    <xdr:rowOff>0</xdr:rowOff>
                  </to>
                </anchor>
              </controlPr>
            </control>
          </mc:Choice>
        </mc:AlternateContent>
        <mc:AlternateContent xmlns:mc="http://schemas.openxmlformats.org/markup-compatibility/2006">
          <mc:Choice Requires="x14">
            <control shapeId="6251" r:id="rId18" name="Button 107">
              <controlPr defaultSize="0" print="0" autoFill="0" autoPict="0" macro="[0]!PlotGamma">
                <anchor moveWithCells="1" sizeWithCells="1">
                  <from>
                    <xdr:col>16</xdr:col>
                    <xdr:colOff>104775</xdr:colOff>
                    <xdr:row>2</xdr:row>
                    <xdr:rowOff>28575</xdr:rowOff>
                  </from>
                  <to>
                    <xdr:col>17</xdr:col>
                    <xdr:colOff>504825</xdr:colOff>
                    <xdr:row>3</xdr:row>
                    <xdr:rowOff>0</xdr:rowOff>
                  </to>
                </anchor>
              </controlPr>
            </control>
          </mc:Choice>
        </mc:AlternateContent>
        <mc:AlternateContent xmlns:mc="http://schemas.openxmlformats.org/markup-compatibility/2006">
          <mc:Choice Requires="x14">
            <control shapeId="6252" r:id="rId19" name="Button 108">
              <controlPr defaultSize="0" print="0" autoFill="0" autoPict="0" macro="[0]!PlotPsi">
                <anchor moveWithCells="1" sizeWithCells="1">
                  <from>
                    <xdr:col>16</xdr:col>
                    <xdr:colOff>104775</xdr:colOff>
                    <xdr:row>3</xdr:row>
                    <xdr:rowOff>28575</xdr:rowOff>
                  </from>
                  <to>
                    <xdr:col>17</xdr:col>
                    <xdr:colOff>504825</xdr:colOff>
                    <xdr:row>4</xdr:row>
                    <xdr:rowOff>0</xdr:rowOff>
                  </to>
                </anchor>
              </controlPr>
            </control>
          </mc:Choice>
        </mc:AlternateContent>
        <mc:AlternateContent xmlns:mc="http://schemas.openxmlformats.org/markup-compatibility/2006">
          <mc:Choice Requires="x14">
            <control shapeId="6253" r:id="rId20" name="Button 109">
              <controlPr defaultSize="0" print="0" autoFill="0" autoPict="0" macro="[0]!PlotPhi">
                <anchor moveWithCells="1" sizeWithCells="1">
                  <from>
                    <xdr:col>16</xdr:col>
                    <xdr:colOff>104775</xdr:colOff>
                    <xdr:row>4</xdr:row>
                    <xdr:rowOff>28575</xdr:rowOff>
                  </from>
                  <to>
                    <xdr:col>17</xdr:col>
                    <xdr:colOff>504825</xdr:colOff>
                    <xdr:row>5</xdr:row>
                    <xdr:rowOff>0</xdr:rowOff>
                  </to>
                </anchor>
              </controlPr>
            </control>
          </mc:Choice>
        </mc:AlternateContent>
        <mc:AlternateContent xmlns:mc="http://schemas.openxmlformats.org/markup-compatibility/2006">
          <mc:Choice Requires="x14">
            <control shapeId="6254" r:id="rId21" name="Button 110">
              <controlPr defaultSize="0" print="0" autoFill="0" autoPict="0" macro="[0]!PlotConductance">
                <anchor moveWithCells="1" sizeWithCells="1">
                  <from>
                    <xdr:col>18</xdr:col>
                    <xdr:colOff>104775</xdr:colOff>
                    <xdr:row>0</xdr:row>
                    <xdr:rowOff>28575</xdr:rowOff>
                  </from>
                  <to>
                    <xdr:col>19</xdr:col>
                    <xdr:colOff>504825</xdr:colOff>
                    <xdr:row>1</xdr:row>
                    <xdr:rowOff>0</xdr:rowOff>
                  </to>
                </anchor>
              </controlPr>
            </control>
          </mc:Choice>
        </mc:AlternateContent>
        <mc:AlternateContent xmlns:mc="http://schemas.openxmlformats.org/markup-compatibility/2006">
          <mc:Choice Requires="x14">
            <control shapeId="6255" r:id="rId22" name="Button 111">
              <controlPr defaultSize="0" print="0" autoFill="0" autoPict="0" macro="[0]!PlotThermal">
                <anchor moveWithCells="1" sizeWithCells="1">
                  <from>
                    <xdr:col>18</xdr:col>
                    <xdr:colOff>104775</xdr:colOff>
                    <xdr:row>1</xdr:row>
                    <xdr:rowOff>28575</xdr:rowOff>
                  </from>
                  <to>
                    <xdr:col>19</xdr:col>
                    <xdr:colOff>504825</xdr:colOff>
                    <xdr:row>2</xdr:row>
                    <xdr:rowOff>0</xdr:rowOff>
                  </to>
                </anchor>
              </controlPr>
            </control>
          </mc:Choice>
        </mc:AlternateContent>
        <mc:AlternateContent xmlns:mc="http://schemas.openxmlformats.org/markup-compatibility/2006">
          <mc:Choice Requires="x14">
            <control shapeId="6256" r:id="rId23" name="Button 112">
              <controlPr defaultSize="0" print="0" autoFill="0" autoPict="0" macro="[0]!PlotCurrent">
                <anchor moveWithCells="1" sizeWithCells="1">
                  <from>
                    <xdr:col>18</xdr:col>
                    <xdr:colOff>104775</xdr:colOff>
                    <xdr:row>2</xdr:row>
                    <xdr:rowOff>28575</xdr:rowOff>
                  </from>
                  <to>
                    <xdr:col>19</xdr:col>
                    <xdr:colOff>504825</xdr:colOff>
                    <xdr:row>3</xdr:row>
                    <xdr:rowOff>0</xdr:rowOff>
                  </to>
                </anchor>
              </controlPr>
            </control>
          </mc:Choice>
        </mc:AlternateContent>
        <mc:AlternateContent xmlns:mc="http://schemas.openxmlformats.org/markup-compatibility/2006">
          <mc:Choice Requires="x14">
            <control shapeId="6258" r:id="rId24" name="Button 114">
              <controlPr defaultSize="0" print="0" autoFill="0" autoPict="0" macro="[0]!ClearIV">
                <anchor moveWithCells="1" sizeWithCells="1">
                  <from>
                    <xdr:col>5</xdr:col>
                    <xdr:colOff>28575</xdr:colOff>
                    <xdr:row>14</xdr:row>
                    <xdr:rowOff>9525</xdr:rowOff>
                  </from>
                  <to>
                    <xdr:col>5</xdr:col>
                    <xdr:colOff>609600</xdr:colOff>
                    <xdr:row>14</xdr:row>
                    <xdr:rowOff>190500</xdr:rowOff>
                  </to>
                </anchor>
              </controlPr>
            </control>
          </mc:Choice>
        </mc:AlternateContent>
        <mc:AlternateContent xmlns:mc="http://schemas.openxmlformats.org/markup-compatibility/2006">
          <mc:Choice Requires="x14">
            <control shapeId="6259" r:id="rId25" name="Button 115">
              <controlPr defaultSize="0" print="0" autoFill="0" autoPict="0" macro="[0]!ClearEQE">
                <anchor moveWithCells="1" sizeWithCells="1">
                  <from>
                    <xdr:col>12</xdr:col>
                    <xdr:colOff>28575</xdr:colOff>
                    <xdr:row>13</xdr:row>
                    <xdr:rowOff>190500</xdr:rowOff>
                  </from>
                  <to>
                    <xdr:col>13</xdr:col>
                    <xdr:colOff>9525</xdr:colOff>
                    <xdr:row>14</xdr:row>
                    <xdr:rowOff>180975</xdr:rowOff>
                  </to>
                </anchor>
              </controlPr>
            </control>
          </mc:Choice>
        </mc:AlternateContent>
        <mc:AlternateContent xmlns:mc="http://schemas.openxmlformats.org/markup-compatibility/2006">
          <mc:Choice Requires="x14">
            <control shapeId="6333" r:id="rId26" name="Button 189">
              <controlPr defaultSize="0" print="0" autoFill="0" autoPict="0" macro="[0]!Button189_Click">
                <anchor moveWithCells="1">
                  <from>
                    <xdr:col>1</xdr:col>
                    <xdr:colOff>152400</xdr:colOff>
                    <xdr:row>28</xdr:row>
                    <xdr:rowOff>123825</xdr:rowOff>
                  </from>
                  <to>
                    <xdr:col>2</xdr:col>
                    <xdr:colOff>228600</xdr:colOff>
                    <xdr:row>29</xdr:row>
                    <xdr:rowOff>161925</xdr:rowOff>
                  </to>
                </anchor>
              </controlPr>
            </control>
          </mc:Choice>
        </mc:AlternateContent>
        <mc:AlternateContent xmlns:mc="http://schemas.openxmlformats.org/markup-compatibility/2006">
          <mc:Choice Requires="x14">
            <control shapeId="6334" r:id="rId27" name="Button 190">
              <controlPr defaultSize="0" print="0" autoFill="0" autoPict="0" macro="[0]!Button190_Click">
                <anchor moveWithCells="1">
                  <from>
                    <xdr:col>5</xdr:col>
                    <xdr:colOff>28575</xdr:colOff>
                    <xdr:row>27</xdr:row>
                    <xdr:rowOff>190500</xdr:rowOff>
                  </from>
                  <to>
                    <xdr:col>6</xdr:col>
                    <xdr:colOff>342900</xdr:colOff>
                    <xdr:row>29</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45"/>
  <sheetViews>
    <sheetView zoomScale="115" zoomScaleNormal="115" workbookViewId="0">
      <selection activeCell="T16" sqref="T16"/>
    </sheetView>
  </sheetViews>
  <sheetFormatPr defaultColWidth="8.85546875" defaultRowHeight="15"/>
  <cols>
    <col min="1" max="1" width="10" style="7" customWidth="1"/>
    <col min="2" max="8" width="8.7109375" style="7" customWidth="1"/>
    <col min="9" max="9" width="3.7109375" style="7" customWidth="1"/>
    <col min="10" max="16" width="8.7109375" style="7" customWidth="1"/>
    <col min="17" max="17" width="3.7109375" style="7" customWidth="1"/>
    <col min="18" max="19" width="9.140625" style="7" customWidth="1"/>
    <col min="20" max="20" width="9.85546875" style="7" bestFit="1" customWidth="1"/>
    <col min="21" max="21" width="9.140625" style="7" customWidth="1"/>
    <col min="22" max="16384" width="8.85546875" style="7"/>
  </cols>
  <sheetData>
    <row r="1" spans="1:23" ht="15" customHeight="1">
      <c r="A1" s="234" t="s">
        <v>44</v>
      </c>
      <c r="B1" s="234"/>
      <c r="C1" s="64" t="s">
        <v>45</v>
      </c>
      <c r="D1" s="85"/>
      <c r="E1" s="85"/>
      <c r="F1" s="85"/>
      <c r="G1" s="64"/>
      <c r="H1" s="85"/>
      <c r="I1" s="85"/>
      <c r="J1" s="85"/>
      <c r="K1" s="85"/>
      <c r="L1" s="85"/>
      <c r="M1" s="65"/>
      <c r="N1" s="85"/>
      <c r="O1" s="85"/>
      <c r="P1" s="85"/>
      <c r="R1" s="57" t="s">
        <v>29</v>
      </c>
    </row>
    <row r="2" spans="1:23" ht="15" customHeight="1">
      <c r="A2" s="32" t="s">
        <v>5</v>
      </c>
      <c r="B2" s="5">
        <v>0.75</v>
      </c>
      <c r="C2" s="7" t="s">
        <v>2</v>
      </c>
      <c r="D2" s="32" t="s">
        <v>90</v>
      </c>
      <c r="E2" s="5">
        <v>1</v>
      </c>
      <c r="F2" s="7" t="s">
        <v>2</v>
      </c>
      <c r="G2" s="32" t="s">
        <v>239</v>
      </c>
      <c r="H2" s="6">
        <v>150</v>
      </c>
      <c r="I2" s="7" t="s">
        <v>38</v>
      </c>
      <c r="J2" s="32" t="s">
        <v>4</v>
      </c>
      <c r="K2" s="81">
        <v>7.5000000000000015E-3</v>
      </c>
      <c r="L2" s="7" t="s">
        <v>184</v>
      </c>
      <c r="M2" s="5" t="s">
        <v>187</v>
      </c>
      <c r="N2" s="32" t="s">
        <v>162</v>
      </c>
      <c r="O2" s="11">
        <v>25</v>
      </c>
      <c r="P2" s="7" t="s">
        <v>161</v>
      </c>
      <c r="R2" s="233" t="s">
        <v>298</v>
      </c>
      <c r="S2" s="233"/>
      <c r="T2" s="233"/>
      <c r="U2" s="233"/>
    </row>
    <row r="3" spans="1:23" ht="15" customHeight="1">
      <c r="A3" s="33"/>
      <c r="H3" s="66" t="s">
        <v>315</v>
      </c>
      <c r="R3" s="233"/>
      <c r="S3" s="233"/>
      <c r="T3" s="233"/>
      <c r="U3" s="233"/>
    </row>
    <row r="4" spans="1:23" ht="15" customHeight="1">
      <c r="A4" s="33"/>
      <c r="D4" s="235" t="s">
        <v>0</v>
      </c>
      <c r="E4" s="235"/>
      <c r="H4" s="66"/>
      <c r="L4" s="235" t="s">
        <v>1</v>
      </c>
      <c r="M4" s="235"/>
      <c r="R4" s="233"/>
      <c r="S4" s="233"/>
      <c r="T4" s="233"/>
      <c r="U4" s="233"/>
    </row>
    <row r="5" spans="1:23" ht="15" customHeight="1">
      <c r="A5" s="138" t="s">
        <v>3</v>
      </c>
      <c r="B5" s="52"/>
      <c r="C5" s="52" t="s">
        <v>109</v>
      </c>
      <c r="D5" s="52"/>
      <c r="E5" s="52"/>
      <c r="F5" s="52"/>
      <c r="G5" s="52"/>
      <c r="H5" s="52"/>
      <c r="I5" s="68"/>
      <c r="J5" s="52"/>
      <c r="K5" s="52" t="s">
        <v>108</v>
      </c>
      <c r="L5" s="52"/>
      <c r="M5" s="52"/>
      <c r="N5" s="52"/>
      <c r="O5" s="52"/>
      <c r="P5" s="52"/>
      <c r="R5" s="233"/>
      <c r="S5" s="233"/>
      <c r="T5" s="233"/>
      <c r="U5" s="233"/>
    </row>
    <row r="6" spans="1:23" ht="15" customHeight="1" thickBot="1">
      <c r="B6" s="87">
        <v>0</v>
      </c>
      <c r="C6" s="87">
        <v>0</v>
      </c>
      <c r="D6" s="87">
        <v>0</v>
      </c>
      <c r="E6" s="87">
        <v>0</v>
      </c>
      <c r="F6" s="87">
        <v>0</v>
      </c>
      <c r="G6" s="83">
        <v>0.2</v>
      </c>
      <c r="H6" s="146" t="s">
        <v>46</v>
      </c>
      <c r="J6" s="91">
        <v>10</v>
      </c>
      <c r="K6" s="87">
        <v>0</v>
      </c>
      <c r="L6" s="87">
        <v>0</v>
      </c>
      <c r="M6" s="87">
        <v>0</v>
      </c>
      <c r="N6" s="93">
        <v>0</v>
      </c>
      <c r="O6" s="83">
        <v>0.2</v>
      </c>
      <c r="P6" s="146" t="s">
        <v>46</v>
      </c>
    </row>
    <row r="7" spans="1:23" ht="15" customHeight="1" thickBot="1">
      <c r="B7" s="88"/>
      <c r="C7" s="89"/>
      <c r="D7" s="89"/>
      <c r="E7" s="89"/>
      <c r="F7" s="90"/>
      <c r="G7" s="83">
        <v>0.2</v>
      </c>
      <c r="H7" s="145" t="s">
        <v>46</v>
      </c>
      <c r="J7" s="91"/>
      <c r="K7" s="89"/>
      <c r="L7" s="89"/>
      <c r="M7" s="89"/>
      <c r="N7" s="93"/>
      <c r="O7" s="83">
        <v>0.2</v>
      </c>
      <c r="P7" s="145" t="s">
        <v>46</v>
      </c>
      <c r="R7" s="137" t="s">
        <v>160</v>
      </c>
      <c r="S7" s="69"/>
      <c r="T7" s="52"/>
      <c r="U7" s="52"/>
    </row>
    <row r="8" spans="1:23" ht="15" customHeight="1" thickBot="1">
      <c r="B8" s="88"/>
      <c r="C8" s="89"/>
      <c r="D8" s="89"/>
      <c r="E8" s="89"/>
      <c r="F8" s="90"/>
      <c r="G8" s="83">
        <v>0.2</v>
      </c>
      <c r="H8" s="145" t="s">
        <v>46</v>
      </c>
      <c r="J8" s="91"/>
      <c r="K8" s="89"/>
      <c r="L8" s="89"/>
      <c r="M8" s="89"/>
      <c r="N8" s="93"/>
      <c r="O8" s="83">
        <v>0.2</v>
      </c>
      <c r="P8" s="145" t="s">
        <v>46</v>
      </c>
      <c r="S8" s="32" t="s">
        <v>241</v>
      </c>
      <c r="T8" s="5">
        <v>1.2</v>
      </c>
      <c r="U8" s="7" t="s">
        <v>39</v>
      </c>
    </row>
    <row r="9" spans="1:23" ht="15" customHeight="1" thickBot="1">
      <c r="B9" s="88"/>
      <c r="C9" s="89"/>
      <c r="D9" s="89"/>
      <c r="E9" s="89"/>
      <c r="F9" s="90"/>
      <c r="G9" s="83">
        <v>0.2</v>
      </c>
      <c r="H9" s="145" t="s">
        <v>46</v>
      </c>
      <c r="J9" s="91"/>
      <c r="K9" s="89"/>
      <c r="L9" s="89"/>
      <c r="M9" s="89"/>
      <c r="N9" s="93"/>
      <c r="O9" s="83">
        <v>0.2</v>
      </c>
      <c r="P9" s="145" t="s">
        <v>46</v>
      </c>
    </row>
    <row r="10" spans="1:23" ht="15" customHeight="1" thickBot="1">
      <c r="B10" s="91"/>
      <c r="C10" s="92"/>
      <c r="D10" s="92"/>
      <c r="E10" s="92"/>
      <c r="F10" s="93"/>
      <c r="G10" s="83">
        <v>0.2</v>
      </c>
      <c r="H10" s="145" t="s">
        <v>46</v>
      </c>
      <c r="J10" s="91"/>
      <c r="K10" s="92"/>
      <c r="L10" s="92"/>
      <c r="M10" s="92"/>
      <c r="N10" s="93"/>
      <c r="O10" s="83">
        <v>0.2</v>
      </c>
      <c r="P10" s="145" t="s">
        <v>46</v>
      </c>
      <c r="R10" s="57" t="s">
        <v>48</v>
      </c>
    </row>
    <row r="11" spans="1:23" ht="15" customHeight="1" thickBot="1">
      <c r="B11" s="82">
        <v>0.15000000000000002</v>
      </c>
      <c r="C11" s="82">
        <v>0.15000000000000002</v>
      </c>
      <c r="D11" s="82">
        <v>0.15000000000000002</v>
      </c>
      <c r="E11" s="82">
        <v>0.15000000000000002</v>
      </c>
      <c r="F11" s="82">
        <v>0.15000000000000002</v>
      </c>
      <c r="H11" s="49"/>
      <c r="J11" s="205">
        <v>1.4999999999999999E-2</v>
      </c>
      <c r="K11" s="82">
        <v>0.18375000000000002</v>
      </c>
      <c r="L11" s="82">
        <v>0.18375000000000002</v>
      </c>
      <c r="M11" s="82">
        <v>0.18375000000000002</v>
      </c>
      <c r="N11" s="82">
        <v>0.18375000000000002</v>
      </c>
      <c r="R11" s="57" t="s">
        <v>47</v>
      </c>
      <c r="W11" s="9"/>
    </row>
    <row r="12" spans="1:23" ht="15" customHeight="1" thickBot="1">
      <c r="B12" s="145" t="s">
        <v>46</v>
      </c>
      <c r="C12" s="145" t="s">
        <v>46</v>
      </c>
      <c r="D12" s="145" t="s">
        <v>46</v>
      </c>
      <c r="E12" s="145" t="s">
        <v>46</v>
      </c>
      <c r="F12" s="145" t="s">
        <v>46</v>
      </c>
      <c r="H12" s="179"/>
      <c r="J12" s="145" t="s">
        <v>2</v>
      </c>
      <c r="K12" s="145" t="s">
        <v>46</v>
      </c>
      <c r="L12" s="145" t="s">
        <v>46</v>
      </c>
      <c r="M12" s="145" t="s">
        <v>46</v>
      </c>
      <c r="N12" s="145" t="s">
        <v>46</v>
      </c>
      <c r="P12" s="179"/>
      <c r="R12" s="57" t="s">
        <v>240</v>
      </c>
    </row>
    <row r="13" spans="1:23" ht="15" customHeight="1">
      <c r="B13" s="50"/>
      <c r="J13" s="50"/>
    </row>
    <row r="14" spans="1:23" ht="15" customHeight="1">
      <c r="A14" s="138" t="s">
        <v>7</v>
      </c>
      <c r="B14" s="52"/>
      <c r="C14" s="52" t="s">
        <v>6</v>
      </c>
      <c r="D14" s="52"/>
      <c r="E14" s="52"/>
      <c r="F14" s="52"/>
      <c r="G14" s="52"/>
      <c r="H14" s="52"/>
      <c r="I14" s="68"/>
      <c r="J14" s="52"/>
      <c r="K14" s="52" t="s">
        <v>6</v>
      </c>
      <c r="L14" s="52"/>
      <c r="M14" s="52"/>
      <c r="N14" s="52"/>
      <c r="O14" s="52"/>
      <c r="P14" s="52"/>
      <c r="R14" s="137" t="s">
        <v>9</v>
      </c>
      <c r="S14" s="107" t="s">
        <v>15</v>
      </c>
      <c r="T14" s="52"/>
      <c r="U14" s="52"/>
    </row>
    <row r="15" spans="1:23" ht="15" customHeight="1">
      <c r="B15" s="86">
        <v>150</v>
      </c>
      <c r="C15" s="86">
        <v>150</v>
      </c>
      <c r="D15" s="86">
        <v>150</v>
      </c>
      <c r="E15" s="86">
        <v>150</v>
      </c>
      <c r="F15" s="86">
        <v>150</v>
      </c>
      <c r="G15" s="70" t="s">
        <v>41</v>
      </c>
      <c r="J15" s="86">
        <v>-50</v>
      </c>
      <c r="K15" s="86">
        <v>-50</v>
      </c>
      <c r="L15" s="86">
        <v>-50</v>
      </c>
      <c r="M15" s="86">
        <v>-50</v>
      </c>
      <c r="N15" s="86">
        <v>-50</v>
      </c>
      <c r="O15" s="70" t="s">
        <v>41</v>
      </c>
      <c r="R15" s="154" t="s">
        <v>190</v>
      </c>
      <c r="S15" s="32" t="s">
        <v>13</v>
      </c>
      <c r="T15" s="178">
        <v>-4000000000000000</v>
      </c>
      <c r="U15" s="7" t="s">
        <v>8</v>
      </c>
    </row>
    <row r="16" spans="1:23" ht="15" customHeight="1">
      <c r="B16" s="86"/>
      <c r="C16" s="86"/>
      <c r="D16" s="86"/>
      <c r="E16" s="86"/>
      <c r="F16" s="86"/>
      <c r="J16" s="86"/>
      <c r="K16" s="86"/>
      <c r="L16" s="86"/>
      <c r="M16" s="86"/>
      <c r="N16" s="86"/>
      <c r="S16" s="32" t="s">
        <v>12</v>
      </c>
      <c r="T16" s="105">
        <v>33.075710107026445</v>
      </c>
      <c r="U16" s="7" t="s">
        <v>14</v>
      </c>
      <c r="V16" s="50"/>
    </row>
    <row r="17" spans="1:22" ht="15" customHeight="1">
      <c r="B17" s="86"/>
      <c r="C17" s="86"/>
      <c r="D17" s="86"/>
      <c r="E17" s="86"/>
      <c r="F17" s="86"/>
      <c r="J17" s="86"/>
      <c r="K17" s="86"/>
      <c r="L17" s="86"/>
      <c r="M17" s="86"/>
      <c r="N17" s="86"/>
      <c r="S17" s="32" t="s">
        <v>11</v>
      </c>
      <c r="T17" s="105">
        <v>11.768186525768362</v>
      </c>
      <c r="U17" s="7" t="s">
        <v>14</v>
      </c>
      <c r="V17" s="50"/>
    </row>
    <row r="18" spans="1:22" ht="15" customHeight="1">
      <c r="B18" s="86"/>
      <c r="C18" s="86"/>
      <c r="D18" s="86"/>
      <c r="E18" s="86"/>
      <c r="F18" s="86"/>
      <c r="J18" s="86"/>
      <c r="K18" s="86"/>
      <c r="L18" s="86"/>
      <c r="M18" s="86"/>
      <c r="N18" s="86"/>
      <c r="S18" s="32" t="s">
        <v>10</v>
      </c>
      <c r="T18" s="106">
        <v>1.2120464905832906</v>
      </c>
      <c r="U18" s="7" t="s">
        <v>40</v>
      </c>
    </row>
    <row r="19" spans="1:22" ht="15" customHeight="1">
      <c r="B19" s="86"/>
      <c r="C19" s="86"/>
      <c r="D19" s="86"/>
      <c r="E19" s="86"/>
      <c r="F19" s="86"/>
      <c r="J19" s="86"/>
      <c r="K19" s="86"/>
      <c r="L19" s="86"/>
      <c r="M19" s="86"/>
      <c r="N19" s="86"/>
      <c r="R19" s="57"/>
      <c r="S19" s="32" t="s">
        <v>99</v>
      </c>
      <c r="T19" s="109">
        <v>18318.399999916124</v>
      </c>
      <c r="U19" s="7" t="s">
        <v>8</v>
      </c>
    </row>
    <row r="20" spans="1:22" ht="15" customHeight="1">
      <c r="R20" s="50"/>
    </row>
    <row r="21" spans="1:22" ht="15" customHeight="1">
      <c r="A21" s="137" t="s">
        <v>74</v>
      </c>
      <c r="B21" s="52"/>
      <c r="C21" s="69"/>
      <c r="D21" s="52"/>
      <c r="E21" s="52"/>
      <c r="F21" s="52"/>
      <c r="G21" s="52"/>
      <c r="H21" s="52"/>
      <c r="I21" s="52"/>
      <c r="J21" s="52"/>
      <c r="K21" s="52"/>
      <c r="L21" s="52"/>
      <c r="M21" s="52"/>
      <c r="N21" s="52"/>
      <c r="O21" s="52"/>
      <c r="P21" s="52"/>
      <c r="R21" s="234" t="s">
        <v>35</v>
      </c>
      <c r="S21" s="234"/>
      <c r="T21" s="234"/>
      <c r="U21" s="65" t="b">
        <v>1</v>
      </c>
    </row>
    <row r="22" spans="1:22" ht="15" customHeight="1">
      <c r="B22" s="94">
        <v>93</v>
      </c>
      <c r="C22" s="94">
        <v>93</v>
      </c>
      <c r="D22" s="94">
        <v>93</v>
      </c>
      <c r="E22" s="94">
        <v>93</v>
      </c>
      <c r="F22" s="94">
        <v>93</v>
      </c>
      <c r="G22" s="7" t="s">
        <v>50</v>
      </c>
      <c r="J22" s="94">
        <v>0</v>
      </c>
      <c r="K22" s="94">
        <v>0</v>
      </c>
      <c r="L22" s="94">
        <v>0</v>
      </c>
      <c r="M22" s="94">
        <v>0</v>
      </c>
      <c r="N22" s="94">
        <v>0</v>
      </c>
      <c r="O22" s="7" t="s">
        <v>50</v>
      </c>
      <c r="R22" s="71" t="s">
        <v>28</v>
      </c>
      <c r="S22" s="71" t="s">
        <v>181</v>
      </c>
      <c r="T22" s="71" t="s">
        <v>182</v>
      </c>
      <c r="U22" s="71"/>
    </row>
    <row r="23" spans="1:22" ht="15" customHeight="1">
      <c r="B23" s="86"/>
      <c r="C23" s="86"/>
      <c r="D23" s="86"/>
      <c r="E23" s="86"/>
      <c r="F23" s="86"/>
      <c r="J23" s="86"/>
      <c r="K23" s="86"/>
      <c r="L23" s="86"/>
      <c r="M23" s="86"/>
      <c r="N23" s="86"/>
      <c r="R23" s="108">
        <v>300</v>
      </c>
      <c r="S23" s="95">
        <v>60</v>
      </c>
      <c r="T23" s="95">
        <v>37</v>
      </c>
    </row>
    <row r="24" spans="1:22" ht="15" customHeight="1">
      <c r="B24" s="86"/>
      <c r="C24" s="86"/>
      <c r="D24" s="86"/>
      <c r="E24" s="86"/>
      <c r="F24" s="86"/>
      <c r="G24" s="232" t="s">
        <v>16</v>
      </c>
      <c r="H24" s="232"/>
      <c r="I24" s="232"/>
      <c r="J24" s="86"/>
      <c r="K24" s="86"/>
      <c r="L24" s="86"/>
      <c r="M24" s="86"/>
      <c r="N24" s="86"/>
      <c r="R24" s="108">
        <v>350</v>
      </c>
      <c r="S24" s="95">
        <v>80</v>
      </c>
      <c r="T24" s="95">
        <v>50</v>
      </c>
    </row>
    <row r="25" spans="1:22" ht="15" customHeight="1">
      <c r="B25" s="86"/>
      <c r="C25" s="86"/>
      <c r="D25" s="86"/>
      <c r="E25" s="86"/>
      <c r="F25" s="86"/>
      <c r="J25" s="86"/>
      <c r="K25" s="86"/>
      <c r="L25" s="86"/>
      <c r="M25" s="86"/>
      <c r="N25" s="86"/>
      <c r="R25" s="108">
        <v>400</v>
      </c>
      <c r="S25" s="95">
        <v>90</v>
      </c>
      <c r="T25" s="95">
        <v>64</v>
      </c>
    </row>
    <row r="26" spans="1:22" ht="15" customHeight="1">
      <c r="B26" s="86"/>
      <c r="C26" s="86"/>
      <c r="D26" s="86"/>
      <c r="E26" s="86"/>
      <c r="F26" s="86"/>
      <c r="J26" s="86"/>
      <c r="K26" s="86"/>
      <c r="L26" s="86"/>
      <c r="M26" s="86"/>
      <c r="N26" s="86"/>
      <c r="R26" s="108">
        <v>450</v>
      </c>
      <c r="S26" s="95">
        <v>98</v>
      </c>
      <c r="T26" s="95">
        <v>83</v>
      </c>
    </row>
    <row r="27" spans="1:22" ht="15" customHeight="1">
      <c r="B27" s="72"/>
      <c r="C27" s="72"/>
      <c r="D27" s="72"/>
      <c r="E27" s="72"/>
      <c r="F27" s="72"/>
      <c r="J27" s="72"/>
      <c r="K27" s="72"/>
      <c r="L27" s="72"/>
      <c r="M27" s="72"/>
      <c r="N27" s="72"/>
      <c r="R27" s="108">
        <v>500</v>
      </c>
      <c r="S27" s="95">
        <v>100</v>
      </c>
      <c r="T27" s="95">
        <v>93</v>
      </c>
    </row>
    <row r="28" spans="1:22" ht="15" customHeight="1">
      <c r="B28" s="86">
        <v>80</v>
      </c>
      <c r="C28" s="86">
        <v>80</v>
      </c>
      <c r="D28" s="86">
        <v>80</v>
      </c>
      <c r="E28" s="86">
        <v>80</v>
      </c>
      <c r="F28" s="86">
        <v>80</v>
      </c>
      <c r="G28" s="7" t="s">
        <v>50</v>
      </c>
      <c r="J28" s="86">
        <v>80</v>
      </c>
      <c r="K28" s="86">
        <v>20</v>
      </c>
      <c r="L28" s="86">
        <v>20</v>
      </c>
      <c r="M28" s="86">
        <v>20</v>
      </c>
      <c r="N28" s="86">
        <v>80</v>
      </c>
      <c r="O28" s="7" t="s">
        <v>50</v>
      </c>
      <c r="R28" s="108">
        <v>550</v>
      </c>
      <c r="S28" s="95">
        <v>100</v>
      </c>
      <c r="T28" s="95">
        <v>98</v>
      </c>
    </row>
    <row r="29" spans="1:22" ht="15" customHeight="1">
      <c r="B29" s="86"/>
      <c r="C29" s="86"/>
      <c r="D29" s="86"/>
      <c r="E29" s="86"/>
      <c r="F29" s="86"/>
      <c r="J29" s="86"/>
      <c r="K29" s="86"/>
      <c r="L29" s="86"/>
      <c r="M29" s="86"/>
      <c r="N29" s="86"/>
      <c r="R29" s="108">
        <v>600</v>
      </c>
      <c r="S29" s="95">
        <v>100</v>
      </c>
      <c r="T29" s="95">
        <v>100</v>
      </c>
    </row>
    <row r="30" spans="1:22" ht="15" customHeight="1">
      <c r="B30" s="86"/>
      <c r="C30" s="86"/>
      <c r="D30" s="86"/>
      <c r="E30" s="86"/>
      <c r="F30" s="86"/>
      <c r="G30" s="232" t="s">
        <v>17</v>
      </c>
      <c r="H30" s="232"/>
      <c r="I30" s="232"/>
      <c r="J30" s="86"/>
      <c r="K30" s="86"/>
      <c r="L30" s="86"/>
      <c r="M30" s="86"/>
      <c r="N30" s="86"/>
      <c r="R30" s="108">
        <v>650</v>
      </c>
      <c r="S30" s="95">
        <v>100</v>
      </c>
      <c r="T30" s="95">
        <v>99</v>
      </c>
    </row>
    <row r="31" spans="1:22" ht="15" customHeight="1">
      <c r="B31" s="86"/>
      <c r="C31" s="86"/>
      <c r="D31" s="86"/>
      <c r="E31" s="86"/>
      <c r="F31" s="86"/>
      <c r="J31" s="86"/>
      <c r="K31" s="86"/>
      <c r="L31" s="86"/>
      <c r="M31" s="86"/>
      <c r="N31" s="86"/>
      <c r="R31" s="108">
        <v>700</v>
      </c>
      <c r="S31" s="95">
        <v>100</v>
      </c>
      <c r="T31" s="95">
        <v>98</v>
      </c>
    </row>
    <row r="32" spans="1:22" ht="15" customHeight="1">
      <c r="B32" s="86"/>
      <c r="C32" s="86"/>
      <c r="D32" s="86"/>
      <c r="E32" s="86"/>
      <c r="F32" s="86"/>
      <c r="J32" s="86"/>
      <c r="K32" s="86"/>
      <c r="L32" s="86"/>
      <c r="M32" s="86"/>
      <c r="N32" s="86"/>
      <c r="R32" s="108">
        <v>750</v>
      </c>
      <c r="S32" s="95">
        <v>99</v>
      </c>
      <c r="T32" s="95">
        <v>96</v>
      </c>
    </row>
    <row r="33" spans="2:20" ht="15" customHeight="1">
      <c r="B33" s="72"/>
      <c r="C33" s="72"/>
      <c r="D33" s="72"/>
      <c r="E33" s="72"/>
      <c r="F33" s="72"/>
      <c r="J33" s="72"/>
      <c r="K33" s="72"/>
      <c r="L33" s="72"/>
      <c r="M33" s="72"/>
      <c r="N33" s="72"/>
      <c r="R33" s="108">
        <v>800</v>
      </c>
      <c r="S33" s="95">
        <v>99</v>
      </c>
      <c r="T33" s="95">
        <v>94</v>
      </c>
    </row>
    <row r="34" spans="2:20" ht="15" customHeight="1">
      <c r="B34" s="86">
        <v>50</v>
      </c>
      <c r="C34" s="86">
        <v>50</v>
      </c>
      <c r="D34" s="86">
        <v>50</v>
      </c>
      <c r="E34" s="86">
        <v>50</v>
      </c>
      <c r="F34" s="86">
        <v>50</v>
      </c>
      <c r="G34" s="7" t="s">
        <v>50</v>
      </c>
      <c r="J34" s="86">
        <v>70</v>
      </c>
      <c r="K34" s="86">
        <v>90</v>
      </c>
      <c r="L34" s="86">
        <v>90</v>
      </c>
      <c r="M34" s="86">
        <v>90</v>
      </c>
      <c r="N34" s="86">
        <v>70</v>
      </c>
      <c r="O34" s="7" t="s">
        <v>50</v>
      </c>
      <c r="R34" s="108">
        <v>850</v>
      </c>
      <c r="S34" s="95">
        <v>98</v>
      </c>
      <c r="T34" s="95">
        <v>92</v>
      </c>
    </row>
    <row r="35" spans="2:20" ht="15" customHeight="1">
      <c r="B35" s="86"/>
      <c r="C35" s="86"/>
      <c r="D35" s="86"/>
      <c r="E35" s="86"/>
      <c r="F35" s="86"/>
      <c r="J35" s="86"/>
      <c r="K35" s="86"/>
      <c r="L35" s="86"/>
      <c r="M35" s="86"/>
      <c r="N35" s="86"/>
      <c r="R35" s="108">
        <v>900</v>
      </c>
      <c r="S35" s="95">
        <v>98</v>
      </c>
      <c r="T35" s="95">
        <v>90</v>
      </c>
    </row>
    <row r="36" spans="2:20" ht="15" customHeight="1">
      <c r="B36" s="86"/>
      <c r="C36" s="86"/>
      <c r="D36" s="86"/>
      <c r="E36" s="86"/>
      <c r="F36" s="86"/>
      <c r="G36" s="232" t="s">
        <v>30</v>
      </c>
      <c r="H36" s="232"/>
      <c r="I36" s="232"/>
      <c r="J36" s="86"/>
      <c r="K36" s="86"/>
      <c r="L36" s="86"/>
      <c r="M36" s="86"/>
      <c r="N36" s="86"/>
      <c r="R36" s="108">
        <v>950</v>
      </c>
      <c r="S36" s="95">
        <v>98</v>
      </c>
      <c r="T36" s="95">
        <v>88</v>
      </c>
    </row>
    <row r="37" spans="2:20" ht="15" customHeight="1">
      <c r="B37" s="86"/>
      <c r="C37" s="86"/>
      <c r="D37" s="86"/>
      <c r="E37" s="86"/>
      <c r="F37" s="86"/>
      <c r="J37" s="86"/>
      <c r="K37" s="86"/>
      <c r="L37" s="86"/>
      <c r="M37" s="86"/>
      <c r="N37" s="86"/>
      <c r="R37" s="108">
        <v>1000</v>
      </c>
      <c r="S37" s="95">
        <v>98</v>
      </c>
      <c r="T37" s="95">
        <v>87</v>
      </c>
    </row>
    <row r="38" spans="2:20" ht="15" customHeight="1">
      <c r="B38" s="86"/>
      <c r="C38" s="86"/>
      <c r="D38" s="86"/>
      <c r="E38" s="86"/>
      <c r="F38" s="86"/>
      <c r="J38" s="86"/>
      <c r="K38" s="86"/>
      <c r="L38" s="86"/>
      <c r="M38" s="86"/>
      <c r="N38" s="86"/>
      <c r="R38" s="108">
        <v>1050</v>
      </c>
      <c r="S38" s="95">
        <v>97</v>
      </c>
      <c r="T38" s="95">
        <v>85</v>
      </c>
    </row>
    <row r="39" spans="2:20" ht="15" customHeight="1">
      <c r="B39" s="72"/>
      <c r="C39" s="72"/>
      <c r="D39" s="72"/>
      <c r="E39" s="72"/>
      <c r="F39" s="72"/>
      <c r="J39" s="72"/>
      <c r="K39" s="72"/>
      <c r="L39" s="72"/>
      <c r="M39" s="72"/>
      <c r="N39" s="72"/>
      <c r="R39" s="108">
        <v>1100</v>
      </c>
      <c r="S39" s="95">
        <v>97</v>
      </c>
      <c r="T39" s="95">
        <v>84</v>
      </c>
    </row>
    <row r="40" spans="2:20" ht="15" customHeight="1">
      <c r="B40" s="86">
        <v>92</v>
      </c>
      <c r="C40" s="86">
        <v>92</v>
      </c>
      <c r="D40" s="86">
        <v>92</v>
      </c>
      <c r="E40" s="86">
        <v>92</v>
      </c>
      <c r="F40" s="86">
        <v>92</v>
      </c>
      <c r="G40" s="7" t="s">
        <v>50</v>
      </c>
      <c r="J40" s="86">
        <v>70</v>
      </c>
      <c r="K40" s="86">
        <v>95</v>
      </c>
      <c r="L40" s="86">
        <v>95</v>
      </c>
      <c r="M40" s="86">
        <v>95</v>
      </c>
      <c r="N40" s="86">
        <v>70</v>
      </c>
      <c r="O40" s="7" t="s">
        <v>50</v>
      </c>
      <c r="R40" s="108">
        <v>1150</v>
      </c>
      <c r="S40" s="95">
        <v>96</v>
      </c>
      <c r="T40" s="95">
        <v>83</v>
      </c>
    </row>
    <row r="41" spans="2:20" ht="15" customHeight="1">
      <c r="B41" s="86"/>
      <c r="C41" s="86"/>
      <c r="D41" s="86"/>
      <c r="E41" s="86"/>
      <c r="F41" s="86"/>
      <c r="J41" s="86"/>
      <c r="K41" s="86"/>
      <c r="L41" s="86"/>
      <c r="M41" s="86"/>
      <c r="N41" s="86"/>
      <c r="R41" s="108">
        <v>1200</v>
      </c>
      <c r="S41" s="95">
        <v>96</v>
      </c>
      <c r="T41" s="95">
        <v>82</v>
      </c>
    </row>
    <row r="42" spans="2:20" ht="15" customHeight="1">
      <c r="B42" s="86"/>
      <c r="C42" s="86"/>
      <c r="D42" s="86"/>
      <c r="E42" s="86"/>
      <c r="F42" s="86"/>
      <c r="G42" s="232" t="s">
        <v>31</v>
      </c>
      <c r="H42" s="232"/>
      <c r="I42" s="232"/>
      <c r="J42" s="86"/>
      <c r="K42" s="86"/>
      <c r="L42" s="86"/>
      <c r="M42" s="86"/>
      <c r="N42" s="86"/>
      <c r="R42" s="73" t="s">
        <v>36</v>
      </c>
      <c r="S42" s="7" t="s">
        <v>34</v>
      </c>
    </row>
    <row r="43" spans="2:20" ht="15" customHeight="1">
      <c r="B43" s="86"/>
      <c r="C43" s="86"/>
      <c r="D43" s="86"/>
      <c r="E43" s="86"/>
      <c r="F43" s="86"/>
      <c r="J43" s="86"/>
      <c r="K43" s="86"/>
      <c r="L43" s="86"/>
      <c r="M43" s="86"/>
      <c r="N43" s="86"/>
    </row>
    <row r="44" spans="2:20" ht="15" customHeight="1">
      <c r="B44" s="86"/>
      <c r="C44" s="86"/>
      <c r="D44" s="86"/>
      <c r="E44" s="86"/>
      <c r="F44" s="86"/>
      <c r="J44" s="86"/>
      <c r="K44" s="86"/>
      <c r="L44" s="86"/>
      <c r="M44" s="86"/>
      <c r="N44" s="86"/>
    </row>
    <row r="45" spans="2:20">
      <c r="B45" s="72"/>
      <c r="C45" s="72"/>
      <c r="D45" s="72"/>
      <c r="E45" s="72"/>
      <c r="F45" s="72"/>
      <c r="J45" s="72"/>
      <c r="K45" s="72"/>
      <c r="L45" s="72"/>
      <c r="M45" s="72"/>
      <c r="N45" s="72"/>
    </row>
  </sheetData>
  <mergeCells count="9">
    <mergeCell ref="G42:I42"/>
    <mergeCell ref="R2:U5"/>
    <mergeCell ref="A1:B1"/>
    <mergeCell ref="R21:T21"/>
    <mergeCell ref="G24:I24"/>
    <mergeCell ref="G30:I30"/>
    <mergeCell ref="G36:I36"/>
    <mergeCell ref="D4:E4"/>
    <mergeCell ref="L4:M4"/>
  </mergeCells>
  <conditionalFormatting sqref="B6:F10">
    <cfRule type="cellIs" dxfId="5" priority="32" operator="greaterThan">
      <formula>0</formula>
    </cfRule>
  </conditionalFormatting>
  <conditionalFormatting sqref="J6:N10">
    <cfRule type="cellIs" dxfId="4" priority="5" operator="greaterThan">
      <formula>0</formula>
    </cfRule>
  </conditionalFormatting>
  <conditionalFormatting sqref="B15:F19">
    <cfRule type="cellIs" dxfId="3" priority="3" operator="lessThan">
      <formula>0</formula>
    </cfRule>
    <cfRule type="cellIs" dxfId="2" priority="4" operator="greaterThan">
      <formula>0</formula>
    </cfRule>
  </conditionalFormatting>
  <conditionalFormatting sqref="J15:N19">
    <cfRule type="cellIs" dxfId="1" priority="1" operator="lessThan">
      <formula>0</formula>
    </cfRule>
    <cfRule type="cellIs" dxfId="0" priority="2" operator="greaterThan">
      <formula>0</formula>
    </cfRule>
  </conditionalFormatting>
  <dataValidations count="13">
    <dataValidation type="decimal" showInputMessage="1" showErrorMessage="1" error="Depth must be a decimal value between 1 and 1000 um, inclusive." sqref="H2" xr:uid="{00000000-0002-0000-0100-000000000000}">
      <formula1>1</formula1>
      <formula2>1000</formula2>
    </dataValidation>
    <dataValidation type="decimal" allowBlank="1" showInputMessage="1" showErrorMessage="1" error="Length must be a decimal value between 0.01 and 1000 mm, inclusive." sqref="E2" xr:uid="{00000000-0002-0000-0100-000001000000}">
      <formula1>0.01</formula1>
      <formula2>1000</formula2>
    </dataValidation>
    <dataValidation type="decimal" allowBlank="1" showInputMessage="1" showErrorMessage="1" error="Width must be a decimal value between 0.01 and 1000 mm, inclusive." sqref="B2" xr:uid="{00000000-0002-0000-0100-000002000000}">
      <formula1>0.01</formula1>
      <formula2>1000</formula2>
    </dataValidation>
    <dataValidation type="decimal" operator="greaterThanOrEqual" showInputMessage="1" showErrorMessage="1" error="Must be a number greater than or equal to zero." sqref="J6:N10 B6:F10" xr:uid="{00000000-0002-0000-0100-000003000000}">
      <formula1>0</formula1>
    </dataValidation>
    <dataValidation type="decimal" showInputMessage="1" showErrorMessage="1" error="Values must be between -10000 and 10000 ohms/sq" sqref="B15:F19" xr:uid="{00000000-0002-0000-0100-000004000000}">
      <formula1>-10000</formula1>
      <formula2>10000</formula2>
    </dataValidation>
    <dataValidation type="decimal" allowBlank="1" showInputMessage="1" showErrorMessage="1" error="Values must be between -10000 and 10000 ohms/sq." sqref="J15:N19" xr:uid="{00000000-0002-0000-0100-000005000000}">
      <formula1>-10000</formula1>
      <formula2>10000</formula2>
    </dataValidation>
    <dataValidation type="decimal" showInputMessage="1" showErrorMessage="1" error="Doping must not exceed +/- 1E18 cm-3." sqref="T15" xr:uid="{00000000-0002-0000-0100-000006000000}">
      <formula1>-1000000000000000000</formula1>
      <formula2>1000000000000000000</formula2>
    </dataValidation>
    <dataValidation type="decimal" operator="greaterThanOrEqual" showInputMessage="1" showErrorMessage="1" error="Only positive values allowed." sqref="G6:G10 O6:O10 J11:N11 B11:F11" xr:uid="{00000000-0002-0000-0100-000007000000}">
      <formula1>0.001</formula1>
    </dataValidation>
    <dataValidation type="decimal" operator="greaterThanOrEqual" allowBlank="1" showInputMessage="1" showErrorMessage="1" error="Negative resistance values are not allowed." sqref="T8" xr:uid="{00000000-0002-0000-0100-000008000000}">
      <formula1>0</formula1>
    </dataValidation>
    <dataValidation type="decimal" showInputMessage="1" showErrorMessage="1" error="Temperature must be a decimal value between -100 and +1000 deg C." sqref="O2" xr:uid="{00000000-0002-0000-0100-000009000000}">
      <formula1>-100</formula1>
      <formula2>1000</formula2>
    </dataValidation>
    <dataValidation type="decimal" allowBlank="1" showInputMessage="1" showErrorMessage="1" error="Diffusivity must be a decimal value between 0.1 and 1000 cm2/s." sqref="T16:T17" xr:uid="{00000000-0002-0000-0100-00000A000000}">
      <formula1>0.1</formula1>
      <formula2>1000</formula2>
    </dataValidation>
    <dataValidation type="decimal" allowBlank="1" showInputMessage="1" showErrorMessage="1" error="Values must be between 100 and 5000 nm, inclusive." sqref="R23:R41" xr:uid="{00000000-0002-0000-0100-00000B000000}">
      <formula1>100</formula1>
      <formula2>5000</formula2>
    </dataValidation>
    <dataValidation type="decimal" showInputMessage="1" showErrorMessage="1" error="Values must be between 0 and 100." sqref="S23:T41 J22:N26 B28:F32 B40:F44 B34:F38 J40:N44 J28:N32 J34:N38 B22:F26" xr:uid="{00000000-0002-0000-0100-00000C000000}">
      <formula1>0</formula1>
      <formula2>100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8" r:id="rId4" name="Button 104">
              <controlPr defaultSize="0" print="0" autoFill="0" autoPict="0" macro="[0]!OnResetFrontUnits">
                <anchor moveWithCells="1" sizeWithCells="1">
                  <from>
                    <xdr:col>7</xdr:col>
                    <xdr:colOff>28575</xdr:colOff>
                    <xdr:row>11</xdr:row>
                    <xdr:rowOff>28575</xdr:rowOff>
                  </from>
                  <to>
                    <xdr:col>7</xdr:col>
                    <xdr:colOff>523875</xdr:colOff>
                    <xdr:row>11</xdr:row>
                    <xdr:rowOff>180975</xdr:rowOff>
                  </to>
                </anchor>
              </controlPr>
            </control>
          </mc:Choice>
        </mc:AlternateContent>
        <mc:AlternateContent xmlns:mc="http://schemas.openxmlformats.org/markup-compatibility/2006">
          <mc:Choice Requires="x14">
            <control shapeId="1129" r:id="rId5" name="Button 105">
              <controlPr defaultSize="0" print="0" autoFill="0" autoPict="0" macro="[0]!OnResetRearUnits">
                <anchor moveWithCells="1" sizeWithCells="1">
                  <from>
                    <xdr:col>15</xdr:col>
                    <xdr:colOff>28575</xdr:colOff>
                    <xdr:row>11</xdr:row>
                    <xdr:rowOff>28575</xdr:rowOff>
                  </from>
                  <to>
                    <xdr:col>15</xdr:col>
                    <xdr:colOff>533400</xdr:colOff>
                    <xdr:row>11</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showErrorMessage="1" xr:uid="{00000000-0002-0000-0100-00000D000000}">
          <x14:formula1>
            <xm:f>Dashboard!$T$12:$T$14</xm:f>
          </x14:formula1>
          <xm:sqref>B12:F12 J12:N12 P6:P10 H6:H10</xm:sqref>
        </x14:dataValidation>
        <x14:dataValidation type="list" allowBlank="1" showInputMessage="1" showErrorMessage="1" xr:uid="{2A3B5DC8-6AC9-48D1-9F5B-854B7477639B}">
          <x14:formula1>
            <xm:f>Dashboard!$P$23:$P$24</xm:f>
          </x14:formula1>
          <xm:sqref>M2</xm:sqref>
        </x14:dataValidation>
        <x14:dataValidation type="list" showInputMessage="1" showErrorMessage="1" xr:uid="{E28AB3D6-220A-4BF3-AB65-919649B724AF}">
          <x14:formula1>
            <xm:f>Dashboard!$S$23:$S$24</xm:f>
          </x14:formula1>
          <xm:sqref>R15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31"/>
  <sheetViews>
    <sheetView zoomScale="115" zoomScaleNormal="115" workbookViewId="0">
      <selection activeCell="D4" sqref="D4"/>
    </sheetView>
  </sheetViews>
  <sheetFormatPr defaultColWidth="8.85546875" defaultRowHeight="15"/>
  <cols>
    <col min="1" max="1" width="7.7109375" style="7" customWidth="1"/>
    <col min="2" max="8" width="9.140625" style="7" customWidth="1"/>
    <col min="9" max="9" width="3.7109375" style="7" customWidth="1"/>
    <col min="10" max="15" width="9.140625" style="7" customWidth="1"/>
    <col min="16" max="16384" width="8.85546875" style="7"/>
  </cols>
  <sheetData>
    <row r="1" spans="1:23" ht="15" customHeight="1">
      <c r="A1" s="234" t="s">
        <v>146</v>
      </c>
      <c r="B1" s="234"/>
      <c r="C1" s="234"/>
      <c r="D1" s="84"/>
      <c r="E1" s="52"/>
      <c r="F1" s="52"/>
      <c r="G1" s="52"/>
      <c r="H1" s="109">
        <v>0</v>
      </c>
      <c r="I1" s="104" t="s">
        <v>62</v>
      </c>
      <c r="J1" s="52"/>
      <c r="K1" s="149">
        <v>0</v>
      </c>
      <c r="L1" s="52"/>
      <c r="M1" s="52"/>
      <c r="N1" s="52"/>
      <c r="O1" s="52"/>
    </row>
    <row r="2" spans="1:23" ht="15" customHeight="1">
      <c r="A2" s="74"/>
      <c r="B2" s="32" t="s">
        <v>32</v>
      </c>
      <c r="C2" s="100">
        <v>0.5</v>
      </c>
      <c r="D2" s="147" t="s">
        <v>24</v>
      </c>
      <c r="G2" s="32" t="s">
        <v>210</v>
      </c>
      <c r="H2" s="102">
        <v>2425.7178554054531</v>
      </c>
      <c r="I2" s="7" t="s">
        <v>37</v>
      </c>
      <c r="M2" s="32" t="s">
        <v>25</v>
      </c>
      <c r="N2" s="103">
        <v>8560000000</v>
      </c>
      <c r="O2" s="7" t="s">
        <v>8</v>
      </c>
    </row>
    <row r="3" spans="1:23" ht="15" customHeight="1">
      <c r="A3" s="26"/>
      <c r="B3" s="32" t="s">
        <v>33</v>
      </c>
      <c r="C3" s="95">
        <f>+C2*10</f>
        <v>5</v>
      </c>
      <c r="D3" s="148" t="s">
        <v>24</v>
      </c>
      <c r="G3" s="32" t="s">
        <v>211</v>
      </c>
      <c r="H3" s="101">
        <v>3089.9683516600089</v>
      </c>
      <c r="I3" s="7" t="s">
        <v>37</v>
      </c>
      <c r="M3" s="32" t="s">
        <v>26</v>
      </c>
      <c r="N3" s="99">
        <v>8.3000000000000003E-31</v>
      </c>
      <c r="O3" s="7" t="s">
        <v>27</v>
      </c>
    </row>
    <row r="4" spans="1:23" ht="15" customHeight="1"/>
    <row r="5" spans="1:23" ht="15" customHeight="1">
      <c r="A5" s="234" t="s">
        <v>147</v>
      </c>
      <c r="B5" s="234"/>
      <c r="C5" s="236"/>
      <c r="D5" s="109">
        <v>0</v>
      </c>
      <c r="E5" s="52" t="s">
        <v>62</v>
      </c>
      <c r="F5" s="149">
        <v>0</v>
      </c>
      <c r="G5" s="52"/>
      <c r="H5" s="52"/>
      <c r="I5" s="68"/>
      <c r="J5" s="52"/>
      <c r="K5" s="52"/>
      <c r="L5" s="109">
        <v>0</v>
      </c>
      <c r="M5" s="52" t="s">
        <v>62</v>
      </c>
      <c r="N5" s="149">
        <v>0</v>
      </c>
      <c r="O5" s="52"/>
    </row>
    <row r="6" spans="1:23" ht="15" customHeight="1">
      <c r="A6" s="33"/>
      <c r="D6" s="67" t="s">
        <v>0</v>
      </c>
      <c r="L6" s="67" t="s">
        <v>1</v>
      </c>
    </row>
    <row r="7" spans="1:23" ht="15" customHeight="1">
      <c r="B7" s="86">
        <v>25</v>
      </c>
      <c r="C7" s="86">
        <v>25</v>
      </c>
      <c r="D7" s="86">
        <v>25</v>
      </c>
      <c r="E7" s="86">
        <v>25</v>
      </c>
      <c r="F7" s="86">
        <v>25</v>
      </c>
      <c r="G7" s="7" t="s">
        <v>20</v>
      </c>
      <c r="J7" s="86">
        <v>50</v>
      </c>
      <c r="K7" s="86">
        <v>10</v>
      </c>
      <c r="L7" s="86">
        <v>10</v>
      </c>
      <c r="M7" s="86">
        <v>10</v>
      </c>
      <c r="N7" s="86">
        <v>10</v>
      </c>
      <c r="O7" s="7" t="s">
        <v>20</v>
      </c>
    </row>
    <row r="8" spans="1:23" ht="15" customHeight="1">
      <c r="B8" s="86"/>
      <c r="C8" s="86"/>
      <c r="D8" s="86"/>
      <c r="E8" s="86"/>
      <c r="F8" s="86"/>
      <c r="J8" s="86"/>
      <c r="K8" s="86"/>
      <c r="L8" s="86"/>
      <c r="M8" s="86"/>
      <c r="N8" s="86"/>
    </row>
    <row r="9" spans="1:23" ht="15" customHeight="1">
      <c r="A9" s="75" t="s">
        <v>42</v>
      </c>
      <c r="B9" s="86"/>
      <c r="C9" s="86"/>
      <c r="D9" s="86"/>
      <c r="E9" s="86"/>
      <c r="F9" s="86"/>
      <c r="J9" s="86"/>
      <c r="K9" s="86"/>
      <c r="L9" s="86"/>
      <c r="M9" s="86"/>
      <c r="N9" s="86"/>
      <c r="V9" s="49"/>
      <c r="W9" s="49"/>
    </row>
    <row r="10" spans="1:23" ht="15" customHeight="1">
      <c r="B10" s="86"/>
      <c r="C10" s="86"/>
      <c r="D10" s="86"/>
      <c r="E10" s="86"/>
      <c r="F10" s="86"/>
      <c r="J10" s="86"/>
      <c r="K10" s="86"/>
      <c r="L10" s="86"/>
      <c r="M10" s="86"/>
      <c r="N10" s="86"/>
      <c r="V10" s="49"/>
      <c r="W10" s="49"/>
    </row>
    <row r="11" spans="1:23" ht="15" customHeight="1">
      <c r="B11" s="86"/>
      <c r="C11" s="86"/>
      <c r="D11" s="86"/>
      <c r="E11" s="86"/>
      <c r="F11" s="86"/>
      <c r="J11" s="86"/>
      <c r="K11" s="86"/>
      <c r="L11" s="86"/>
      <c r="M11" s="86"/>
      <c r="N11" s="86"/>
      <c r="V11" s="49"/>
      <c r="W11" s="49"/>
    </row>
    <row r="12" spans="1:23" ht="15" customHeight="1">
      <c r="V12" s="49"/>
      <c r="W12" s="49"/>
    </row>
    <row r="13" spans="1:23" ht="15" customHeight="1">
      <c r="A13" s="234" t="s">
        <v>148</v>
      </c>
      <c r="B13" s="234"/>
      <c r="C13" s="64"/>
      <c r="D13" s="76"/>
      <c r="E13" s="65"/>
      <c r="F13" s="65"/>
      <c r="G13" s="64"/>
      <c r="H13" s="109">
        <v>0</v>
      </c>
      <c r="I13" s="104" t="s">
        <v>62</v>
      </c>
      <c r="J13" s="52"/>
      <c r="K13" s="149">
        <v>0</v>
      </c>
      <c r="L13" s="52"/>
      <c r="M13" s="52"/>
      <c r="N13" s="52"/>
      <c r="O13" s="52"/>
      <c r="V13" s="49"/>
      <c r="W13" s="49"/>
    </row>
    <row r="14" spans="1:23" ht="15" customHeight="1">
      <c r="B14" s="32"/>
      <c r="D14" s="77"/>
      <c r="E14" s="56" t="s">
        <v>220</v>
      </c>
      <c r="F14" s="75" t="s">
        <v>217</v>
      </c>
      <c r="G14" s="75" t="s">
        <v>218</v>
      </c>
      <c r="H14" s="75" t="s">
        <v>219</v>
      </c>
      <c r="J14" s="75" t="s">
        <v>158</v>
      </c>
      <c r="L14" s="75" t="s">
        <v>155</v>
      </c>
      <c r="N14" s="75" t="s">
        <v>177</v>
      </c>
      <c r="V14" s="49"/>
      <c r="W14" s="49"/>
    </row>
    <row r="15" spans="1:23" ht="15" customHeight="1">
      <c r="A15" s="78"/>
      <c r="B15" s="79"/>
      <c r="C15" s="56" t="s">
        <v>150</v>
      </c>
      <c r="D15" s="148" t="s">
        <v>189</v>
      </c>
      <c r="E15" s="96" t="s">
        <v>154</v>
      </c>
      <c r="F15" s="89">
        <v>50</v>
      </c>
      <c r="G15" s="89">
        <v>50</v>
      </c>
      <c r="H15" s="89">
        <v>50</v>
      </c>
      <c r="J15" s="97">
        <v>1.0000000000000001E-9</v>
      </c>
      <c r="K15" s="7" t="s">
        <v>156</v>
      </c>
      <c r="L15" s="95">
        <v>2</v>
      </c>
      <c r="N15" s="98">
        <v>0.5</v>
      </c>
      <c r="V15" s="49"/>
      <c r="W15" s="49"/>
    </row>
    <row r="16" spans="1:23" ht="15" customHeight="1">
      <c r="A16" s="78"/>
      <c r="B16" s="78"/>
      <c r="C16" s="56" t="s">
        <v>151</v>
      </c>
      <c r="D16" s="148" t="s">
        <v>189</v>
      </c>
      <c r="E16" s="148" t="s">
        <v>95</v>
      </c>
      <c r="F16" s="89">
        <v>50</v>
      </c>
      <c r="G16" s="89">
        <v>100</v>
      </c>
      <c r="H16" s="89">
        <v>50</v>
      </c>
      <c r="J16" s="97">
        <v>1E-8</v>
      </c>
      <c r="K16" s="7" t="s">
        <v>157</v>
      </c>
      <c r="L16" s="95">
        <v>2</v>
      </c>
      <c r="N16" s="98">
        <v>0.5</v>
      </c>
      <c r="V16" s="49"/>
      <c r="W16" s="49"/>
    </row>
    <row r="17" spans="1:23" ht="15" customHeight="1">
      <c r="A17" s="78"/>
      <c r="B17" s="78"/>
      <c r="C17" s="56" t="s">
        <v>152</v>
      </c>
      <c r="D17" s="148" t="s">
        <v>189</v>
      </c>
      <c r="E17" s="148" t="s">
        <v>71</v>
      </c>
      <c r="F17" s="89">
        <v>50</v>
      </c>
      <c r="G17" s="89">
        <v>100</v>
      </c>
      <c r="H17" s="89">
        <v>100</v>
      </c>
      <c r="J17" s="97">
        <v>9.9999999999999995E-8</v>
      </c>
      <c r="K17" s="7" t="s">
        <v>62</v>
      </c>
      <c r="L17" s="95">
        <v>2</v>
      </c>
      <c r="N17" s="98">
        <v>0.5</v>
      </c>
      <c r="V17" s="49"/>
      <c r="W17" s="49"/>
    </row>
    <row r="18" spans="1:23" ht="15" customHeight="1"/>
    <row r="19" spans="1:23" ht="15" customHeight="1">
      <c r="A19" s="234" t="s">
        <v>149</v>
      </c>
      <c r="B19" s="234"/>
      <c r="C19" s="52"/>
      <c r="D19" s="109">
        <v>0</v>
      </c>
      <c r="E19" s="52" t="s">
        <v>62</v>
      </c>
      <c r="F19" s="149">
        <v>0</v>
      </c>
      <c r="G19" s="52"/>
      <c r="H19" s="52"/>
      <c r="I19" s="68"/>
      <c r="J19" s="52"/>
      <c r="K19" s="52"/>
      <c r="L19" s="109">
        <v>0</v>
      </c>
      <c r="M19" s="52" t="s">
        <v>62</v>
      </c>
      <c r="N19" s="149">
        <v>0</v>
      </c>
      <c r="O19" s="52"/>
    </row>
    <row r="20" spans="1:23" ht="15" customHeight="1">
      <c r="A20" s="33"/>
      <c r="D20" s="67" t="s">
        <v>0</v>
      </c>
      <c r="L20" s="67" t="s">
        <v>1</v>
      </c>
    </row>
    <row r="21" spans="1:23" ht="15" customHeight="1">
      <c r="B21" s="86">
        <v>1</v>
      </c>
      <c r="C21" s="86">
        <v>1</v>
      </c>
      <c r="D21" s="86">
        <v>1</v>
      </c>
      <c r="E21" s="86">
        <v>1</v>
      </c>
      <c r="F21" s="86">
        <v>1</v>
      </c>
      <c r="G21" s="7" t="s">
        <v>21</v>
      </c>
      <c r="J21" s="86">
        <v>0</v>
      </c>
      <c r="K21" s="86">
        <v>0</v>
      </c>
      <c r="L21" s="86">
        <v>0</v>
      </c>
      <c r="M21" s="86">
        <v>0</v>
      </c>
      <c r="N21" s="86">
        <v>0</v>
      </c>
      <c r="O21" s="7" t="s">
        <v>21</v>
      </c>
    </row>
    <row r="22" spans="1:23" ht="15" customHeight="1">
      <c r="B22" s="86"/>
      <c r="C22" s="86"/>
      <c r="D22" s="86"/>
      <c r="E22" s="86"/>
      <c r="F22" s="86"/>
      <c r="J22" s="86"/>
      <c r="K22" s="86"/>
      <c r="L22" s="86"/>
      <c r="M22" s="86"/>
      <c r="N22" s="86"/>
    </row>
    <row r="23" spans="1:23" ht="15" customHeight="1">
      <c r="A23" s="75" t="s">
        <v>43</v>
      </c>
      <c r="B23" s="86"/>
      <c r="C23" s="86"/>
      <c r="D23" s="86"/>
      <c r="E23" s="86"/>
      <c r="F23" s="86"/>
      <c r="J23" s="86"/>
      <c r="K23" s="86"/>
      <c r="L23" s="86"/>
      <c r="M23" s="86"/>
      <c r="N23" s="86"/>
    </row>
    <row r="24" spans="1:23" ht="15" customHeight="1">
      <c r="B24" s="86"/>
      <c r="C24" s="86"/>
      <c r="D24" s="86"/>
      <c r="E24" s="86"/>
      <c r="F24" s="86"/>
      <c r="J24" s="86"/>
      <c r="K24" s="86"/>
      <c r="L24" s="86"/>
      <c r="M24" s="86"/>
      <c r="N24" s="86"/>
    </row>
    <row r="25" spans="1:23" ht="15" customHeight="1">
      <c r="B25" s="86"/>
      <c r="C25" s="86"/>
      <c r="D25" s="86"/>
      <c r="E25" s="86"/>
      <c r="F25" s="86"/>
      <c r="J25" s="86"/>
      <c r="K25" s="86"/>
      <c r="L25" s="86"/>
      <c r="M25" s="86"/>
      <c r="N25" s="86"/>
    </row>
    <row r="26" spans="1:23" ht="15" customHeight="1"/>
    <row r="27" spans="1:23" ht="15" customHeight="1">
      <c r="B27" s="86">
        <v>0</v>
      </c>
      <c r="C27" s="86">
        <v>0</v>
      </c>
      <c r="D27" s="86">
        <v>0</v>
      </c>
      <c r="E27" s="86">
        <v>0</v>
      </c>
      <c r="F27" s="86">
        <v>0</v>
      </c>
      <c r="G27" s="7" t="s">
        <v>23</v>
      </c>
      <c r="J27" s="86">
        <v>0</v>
      </c>
      <c r="K27" s="86">
        <v>0</v>
      </c>
      <c r="L27" s="86">
        <v>0</v>
      </c>
      <c r="M27" s="86">
        <v>0</v>
      </c>
      <c r="N27" s="86">
        <v>0</v>
      </c>
      <c r="O27" s="7" t="s">
        <v>23</v>
      </c>
    </row>
    <row r="28" spans="1:23" ht="15" customHeight="1">
      <c r="B28" s="86"/>
      <c r="C28" s="86"/>
      <c r="D28" s="86"/>
      <c r="E28" s="86"/>
      <c r="F28" s="86"/>
      <c r="J28" s="86"/>
      <c r="K28" s="86"/>
      <c r="L28" s="86"/>
      <c r="M28" s="86"/>
      <c r="N28" s="86"/>
    </row>
    <row r="29" spans="1:23" ht="15" customHeight="1">
      <c r="A29" s="75" t="s">
        <v>22</v>
      </c>
      <c r="B29" s="86"/>
      <c r="C29" s="86"/>
      <c r="D29" s="86"/>
      <c r="E29" s="86"/>
      <c r="F29" s="86"/>
      <c r="J29" s="86"/>
      <c r="K29" s="86"/>
      <c r="L29" s="86"/>
      <c r="M29" s="86"/>
      <c r="N29" s="86"/>
    </row>
    <row r="30" spans="1:23" ht="15" customHeight="1">
      <c r="B30" s="86"/>
      <c r="C30" s="86"/>
      <c r="D30" s="86"/>
      <c r="E30" s="86"/>
      <c r="F30" s="86"/>
      <c r="J30" s="86"/>
      <c r="K30" s="86"/>
      <c r="L30" s="86"/>
      <c r="M30" s="86"/>
      <c r="N30" s="86"/>
    </row>
    <row r="31" spans="1:23" ht="15" customHeight="1">
      <c r="B31" s="86"/>
      <c r="C31" s="86"/>
      <c r="D31" s="86"/>
      <c r="E31" s="86"/>
      <c r="F31" s="86"/>
      <c r="J31" s="86"/>
      <c r="K31" s="86"/>
      <c r="L31" s="86"/>
      <c r="M31" s="86"/>
      <c r="N31" s="86"/>
    </row>
  </sheetData>
  <mergeCells count="4">
    <mergeCell ref="A1:C1"/>
    <mergeCell ref="A5:C5"/>
    <mergeCell ref="A13:B13"/>
    <mergeCell ref="A19:B19"/>
  </mergeCells>
  <dataValidations count="8">
    <dataValidation type="decimal" operator="greaterThan" allowBlank="1" showInputMessage="1" showErrorMessage="1" error="Only positive values allowed." sqref="C2:C3" xr:uid="{1738F2D0-D24A-4E6F-90F5-74579B6BC841}">
      <formula1>0</formula1>
    </dataValidation>
    <dataValidation type="decimal" operator="greaterThan" showInputMessage="1" showErrorMessage="1" error="Only positive value allowed." sqref="N2" xr:uid="{00000000-0002-0000-0200-000001000000}">
      <formula1>0</formula1>
    </dataValidation>
    <dataValidation type="decimal" operator="greaterThanOrEqual" showInputMessage="1" showErrorMessage="1" error="Negative value not allowed." sqref="N3" xr:uid="{00000000-0002-0000-0200-000002000000}">
      <formula1>0</formula1>
    </dataValidation>
    <dataValidation type="decimal" operator="greaterThanOrEqual" allowBlank="1" showInputMessage="1" showErrorMessage="1" error="Negative values not allowed." sqref="B27:F31 J21:N25 J27:N31 J7:N11 B21:F25 B7:F11" xr:uid="{00000000-0002-0000-0200-000003000000}">
      <formula1>0</formula1>
    </dataValidation>
    <dataValidation type="decimal" allowBlank="1" showInputMessage="1" showErrorMessage="1" error="Only values between 0 and 1 are allowed." sqref="N15:N17" xr:uid="{00000000-0002-0000-0200-000004000000}">
      <formula1>0</formula1>
      <formula2>1</formula2>
    </dataValidation>
    <dataValidation type="decimal" allowBlank="1" showInputMessage="1" showErrorMessage="1" error="Only decimal values between 1 and 5 are allowed." sqref="L15:L17" xr:uid="{00000000-0002-0000-0200-000005000000}">
      <formula1>1</formula1>
      <formula2>5</formula2>
    </dataValidation>
    <dataValidation type="decimal" allowBlank="1" showInputMessage="1" showErrorMessage="1" error="Only values between 0 and 100 are allowed." sqref="F15:H17" xr:uid="{00000000-0002-0000-0200-000006000000}">
      <formula1>0</formula1>
      <formula2>100</formula2>
    </dataValidation>
    <dataValidation type="decimal" operator="greaterThanOrEqual" allowBlank="1" showInputMessage="1" showErrorMessage="1" error="Negative values are not allowed." sqref="J15:J17" xr:uid="{00000000-0002-0000-0200-000007000000}">
      <formula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F60081E3-C9EF-415E-B077-3DDC817A9B35}">
          <x14:formula1>
            <xm:f>Dashboard!$R$23:$R$24</xm:f>
          </x14:formula1>
          <xm:sqref>D15:D17</xm:sqref>
        </x14:dataValidation>
        <x14:dataValidation type="list" showErrorMessage="1" xr:uid="{00000000-0002-0000-0200-000008000000}">
          <x14:formula1>
            <xm:f>Dashboard!R12:R14</xm:f>
          </x14:formula1>
          <xm:sqref>E16</xm:sqref>
        </x14:dataValidation>
        <x14:dataValidation type="list" showErrorMessage="1" xr:uid="{00000000-0002-0000-0200-000009000000}">
          <x14:formula1>
            <xm:f>Dashboard!R12:R14</xm:f>
          </x14:formula1>
          <xm:sqref>E17</xm:sqref>
        </x14:dataValidation>
        <x14:dataValidation type="list" showErrorMessage="1" xr:uid="{00000000-0002-0000-0200-00000A000000}">
          <x14:formula1>
            <xm:f>Dashboard!S12:S13</xm:f>
          </x14:formula1>
          <xm:sqref>D2</xm:sqref>
        </x14:dataValidation>
        <x14:dataValidation type="list" showErrorMessage="1" xr:uid="{00000000-0002-0000-0200-00000B000000}">
          <x14:formula1>
            <xm:f>Dashboard!S12:S13</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R76"/>
  <sheetViews>
    <sheetView zoomScaleNormal="100" workbookViewId="0">
      <selection activeCell="B15" sqref="B15"/>
    </sheetView>
  </sheetViews>
  <sheetFormatPr defaultColWidth="8.85546875" defaultRowHeight="15"/>
  <cols>
    <col min="1" max="1" width="10.28515625" style="7" customWidth="1"/>
    <col min="2" max="4" width="9.140625" style="7" customWidth="1"/>
    <col min="5" max="5" width="3.7109375" style="7" customWidth="1"/>
    <col min="6" max="11" width="9.140625" style="7" customWidth="1"/>
    <col min="12" max="12" width="3.7109375" style="7" customWidth="1"/>
    <col min="13" max="18" width="8.7109375" style="7" customWidth="1"/>
    <col min="19" max="19" width="11" style="7" bestFit="1" customWidth="1"/>
    <col min="20" max="16384" width="8.85546875" style="7"/>
  </cols>
  <sheetData>
    <row r="1" spans="1:18" ht="15" customHeight="1">
      <c r="A1" s="137" t="s">
        <v>140</v>
      </c>
      <c r="B1" s="85"/>
      <c r="C1" s="85"/>
      <c r="D1" s="85"/>
      <c r="F1" s="137" t="s">
        <v>136</v>
      </c>
      <c r="G1" s="65"/>
      <c r="H1" s="64" t="s">
        <v>45</v>
      </c>
      <c r="I1" s="85"/>
      <c r="J1" s="85"/>
      <c r="K1" s="85"/>
      <c r="L1" s="85"/>
      <c r="M1" s="64"/>
      <c r="N1" s="85"/>
      <c r="O1" s="85"/>
      <c r="P1" s="85"/>
      <c r="Q1" s="85"/>
      <c r="R1" s="85"/>
    </row>
    <row r="2" spans="1:18" ht="15" customHeight="1">
      <c r="A2" s="32" t="s">
        <v>100</v>
      </c>
      <c r="B2" s="147" t="s">
        <v>107</v>
      </c>
      <c r="F2" s="240" t="s">
        <v>118</v>
      </c>
      <c r="G2" s="237" t="s">
        <v>127</v>
      </c>
      <c r="I2" s="240" t="s">
        <v>119</v>
      </c>
      <c r="J2" s="237" t="s">
        <v>127</v>
      </c>
    </row>
    <row r="3" spans="1:18" ht="15" customHeight="1">
      <c r="B3" s="56" t="s">
        <v>117</v>
      </c>
      <c r="F3" s="240"/>
      <c r="G3" s="238"/>
      <c r="I3" s="240"/>
      <c r="J3" s="238"/>
      <c r="M3" s="71" t="s">
        <v>18</v>
      </c>
      <c r="N3" s="71" t="s">
        <v>145</v>
      </c>
      <c r="O3" s="71" t="s">
        <v>127</v>
      </c>
      <c r="P3" s="71" t="s">
        <v>95</v>
      </c>
      <c r="Q3" s="71" t="s">
        <v>223</v>
      </c>
      <c r="R3" s="32"/>
    </row>
    <row r="4" spans="1:18" ht="15" customHeight="1">
      <c r="B4" s="32" t="s">
        <v>118</v>
      </c>
      <c r="C4" s="95">
        <v>1</v>
      </c>
      <c r="D4" s="7" t="s">
        <v>116</v>
      </c>
      <c r="F4" s="239" t="s">
        <v>128</v>
      </c>
      <c r="G4" s="239"/>
      <c r="I4" s="239" t="s">
        <v>128</v>
      </c>
      <c r="J4" s="239"/>
      <c r="M4" s="71" t="s">
        <v>19</v>
      </c>
      <c r="N4" s="71" t="s">
        <v>107</v>
      </c>
      <c r="O4" s="71" t="s">
        <v>128</v>
      </c>
      <c r="P4" s="71" t="s">
        <v>71</v>
      </c>
      <c r="Q4" s="71" t="s">
        <v>138</v>
      </c>
      <c r="R4" s="32"/>
    </row>
    <row r="5" spans="1:18" ht="15" customHeight="1">
      <c r="B5" s="32" t="s">
        <v>119</v>
      </c>
      <c r="C5" s="95">
        <v>0</v>
      </c>
      <c r="D5" s="7" t="s">
        <v>116</v>
      </c>
      <c r="F5" s="32" t="s">
        <v>226</v>
      </c>
      <c r="G5" s="95">
        <v>50</v>
      </c>
      <c r="H5" s="168" t="s">
        <v>50</v>
      </c>
      <c r="I5" s="32" t="s">
        <v>226</v>
      </c>
      <c r="J5" s="95">
        <v>50</v>
      </c>
      <c r="K5" s="168" t="s">
        <v>50</v>
      </c>
      <c r="M5" s="71"/>
      <c r="N5" s="71" t="s">
        <v>178</v>
      </c>
      <c r="O5" s="71" t="s">
        <v>129</v>
      </c>
      <c r="P5" s="71" t="s">
        <v>130</v>
      </c>
      <c r="R5" s="32"/>
    </row>
    <row r="6" spans="1:18" ht="15" customHeight="1">
      <c r="B6" s="56" t="s">
        <v>120</v>
      </c>
      <c r="F6" s="32" t="s">
        <v>227</v>
      </c>
      <c r="G6" s="95">
        <v>50</v>
      </c>
      <c r="H6" s="7" t="s">
        <v>50</v>
      </c>
      <c r="I6" s="32" t="s">
        <v>227</v>
      </c>
      <c r="J6" s="95">
        <v>50</v>
      </c>
      <c r="K6" s="7" t="s">
        <v>50</v>
      </c>
      <c r="M6" s="71"/>
      <c r="N6" s="71" t="s">
        <v>115</v>
      </c>
      <c r="O6" s="71"/>
      <c r="P6" s="71"/>
      <c r="R6" s="32"/>
    </row>
    <row r="7" spans="1:18" ht="15" customHeight="1">
      <c r="B7" s="32" t="s">
        <v>118</v>
      </c>
      <c r="C7" s="95">
        <v>0.1</v>
      </c>
      <c r="D7" s="7" t="s">
        <v>68</v>
      </c>
      <c r="F7" s="32" t="s">
        <v>228</v>
      </c>
      <c r="G7" s="95">
        <v>0</v>
      </c>
      <c r="H7" s="7" t="s">
        <v>50</v>
      </c>
      <c r="I7" s="32" t="s">
        <v>228</v>
      </c>
      <c r="J7" s="95">
        <v>0</v>
      </c>
      <c r="K7" s="7" t="s">
        <v>50</v>
      </c>
      <c r="M7" s="32"/>
      <c r="O7" s="71"/>
    </row>
    <row r="8" spans="1:18" ht="15" customHeight="1">
      <c r="B8" s="32" t="s">
        <v>119</v>
      </c>
      <c r="C8" s="95">
        <v>0</v>
      </c>
      <c r="D8" s="7" t="s">
        <v>68</v>
      </c>
      <c r="F8" s="32" t="s">
        <v>179</v>
      </c>
      <c r="G8" s="95">
        <v>0.1</v>
      </c>
      <c r="H8" s="7" t="s">
        <v>2</v>
      </c>
      <c r="I8" s="32" t="s">
        <v>179</v>
      </c>
      <c r="J8" s="95">
        <v>0.1</v>
      </c>
      <c r="K8" s="7" t="s">
        <v>2</v>
      </c>
      <c r="M8" s="32" t="s">
        <v>139</v>
      </c>
      <c r="N8" s="7" t="s">
        <v>204</v>
      </c>
      <c r="R8" s="32"/>
    </row>
    <row r="9" spans="1:18" ht="15" customHeight="1">
      <c r="B9" s="32" t="s">
        <v>132</v>
      </c>
      <c r="C9" s="95">
        <v>650</v>
      </c>
      <c r="D9" s="7" t="s">
        <v>56</v>
      </c>
      <c r="F9" s="239" t="s">
        <v>129</v>
      </c>
      <c r="G9" s="239"/>
      <c r="I9" s="239" t="s">
        <v>129</v>
      </c>
      <c r="J9" s="239"/>
      <c r="M9" s="32" t="s">
        <v>200</v>
      </c>
      <c r="N9" s="7" t="s">
        <v>58</v>
      </c>
      <c r="R9" s="32"/>
    </row>
    <row r="10" spans="1:18" ht="15" customHeight="1">
      <c r="B10" s="56" t="s">
        <v>193</v>
      </c>
      <c r="C10" s="147" t="s">
        <v>189</v>
      </c>
      <c r="F10" s="170" t="s">
        <v>231</v>
      </c>
      <c r="G10" s="147" t="s">
        <v>95</v>
      </c>
      <c r="I10" s="170" t="s">
        <v>231</v>
      </c>
      <c r="J10" s="147" t="s">
        <v>95</v>
      </c>
      <c r="N10" s="7" t="s">
        <v>205</v>
      </c>
      <c r="R10" s="32"/>
    </row>
    <row r="11" spans="1:18" ht="15" customHeight="1">
      <c r="B11" s="32" t="s">
        <v>123</v>
      </c>
      <c r="C11" s="95">
        <v>1.7</v>
      </c>
      <c r="D11" s="7" t="s">
        <v>124</v>
      </c>
      <c r="F11" s="32" t="s">
        <v>135</v>
      </c>
      <c r="G11" s="147" t="s">
        <v>138</v>
      </c>
      <c r="I11" s="32" t="s">
        <v>135</v>
      </c>
      <c r="J11" s="147" t="s">
        <v>138</v>
      </c>
      <c r="R11" s="32"/>
    </row>
    <row r="12" spans="1:18" ht="15" customHeight="1">
      <c r="B12" s="32" t="s">
        <v>125</v>
      </c>
      <c r="C12" s="95">
        <v>0.3</v>
      </c>
      <c r="D12" s="7" t="s">
        <v>124</v>
      </c>
      <c r="F12" s="32" t="s">
        <v>222</v>
      </c>
      <c r="G12" s="95">
        <v>50</v>
      </c>
      <c r="H12" s="7" t="s">
        <v>50</v>
      </c>
      <c r="I12" s="32" t="s">
        <v>222</v>
      </c>
      <c r="J12" s="95">
        <v>50</v>
      </c>
      <c r="K12" s="7" t="s">
        <v>50</v>
      </c>
    </row>
    <row r="13" spans="1:18" ht="15" customHeight="1">
      <c r="B13" s="32" t="s">
        <v>126</v>
      </c>
      <c r="C13" s="95">
        <v>5</v>
      </c>
      <c r="D13" s="7" t="s">
        <v>50</v>
      </c>
      <c r="F13" s="32" t="s">
        <v>221</v>
      </c>
      <c r="G13" s="95">
        <v>0.1</v>
      </c>
      <c r="H13" s="7" t="s">
        <v>2</v>
      </c>
      <c r="I13" s="32" t="s">
        <v>221</v>
      </c>
      <c r="J13" s="95">
        <v>0.1</v>
      </c>
      <c r="K13" s="7" t="s">
        <v>2</v>
      </c>
    </row>
    <row r="14" spans="1:18" ht="15" customHeight="1"/>
    <row r="15" spans="1:18" ht="15" customHeight="1">
      <c r="A15" s="121" t="s">
        <v>28</v>
      </c>
      <c r="B15" s="121" t="s">
        <v>83</v>
      </c>
      <c r="C15" s="121" t="s">
        <v>121</v>
      </c>
      <c r="D15" s="121" t="s">
        <v>122</v>
      </c>
      <c r="E15" s="123"/>
      <c r="F15" s="124"/>
      <c r="G15" s="124"/>
      <c r="H15" s="124"/>
      <c r="I15" s="124"/>
      <c r="J15" s="124"/>
      <c r="K15" s="125"/>
    </row>
    <row r="16" spans="1:18" ht="15" customHeight="1">
      <c r="A16" s="122" t="s">
        <v>56</v>
      </c>
      <c r="B16" s="122" t="s">
        <v>133</v>
      </c>
      <c r="C16" s="122" t="s">
        <v>134</v>
      </c>
      <c r="D16" s="122" t="s">
        <v>50</v>
      </c>
    </row>
    <row r="17" spans="1:4" ht="15" customHeight="1">
      <c r="A17" s="108">
        <v>310</v>
      </c>
      <c r="B17" s="118">
        <v>0.72</v>
      </c>
      <c r="C17" s="119">
        <v>1440000</v>
      </c>
      <c r="D17" s="120">
        <v>100</v>
      </c>
    </row>
    <row r="18" spans="1:4" ht="15" customHeight="1">
      <c r="A18" s="108">
        <v>320</v>
      </c>
      <c r="B18" s="118">
        <v>2.0979999999999999</v>
      </c>
      <c r="C18" s="119">
        <v>1280000</v>
      </c>
      <c r="D18" s="120">
        <v>100</v>
      </c>
    </row>
    <row r="19" spans="1:4" ht="15" customHeight="1">
      <c r="A19" s="108">
        <v>330</v>
      </c>
      <c r="B19" s="118">
        <v>4.1369999999999996</v>
      </c>
      <c r="C19" s="119">
        <v>1170000</v>
      </c>
      <c r="D19" s="120">
        <v>100</v>
      </c>
    </row>
    <row r="20" spans="1:4" ht="15" customHeight="1">
      <c r="A20" s="108">
        <v>340</v>
      </c>
      <c r="B20" s="118">
        <v>4.54</v>
      </c>
      <c r="C20" s="119">
        <v>1090000</v>
      </c>
      <c r="D20" s="120">
        <v>100</v>
      </c>
    </row>
    <row r="21" spans="1:4" ht="15" customHeight="1">
      <c r="A21" s="108">
        <v>350</v>
      </c>
      <c r="B21" s="118">
        <v>7.8</v>
      </c>
      <c r="C21" s="119">
        <v>1040000</v>
      </c>
      <c r="D21" s="120">
        <v>100</v>
      </c>
    </row>
    <row r="22" spans="1:4" ht="15" customHeight="1">
      <c r="A22" s="108">
        <v>370</v>
      </c>
      <c r="B22" s="118">
        <v>13.24</v>
      </c>
      <c r="C22" s="119">
        <v>697000</v>
      </c>
      <c r="D22" s="120">
        <v>100</v>
      </c>
    </row>
    <row r="23" spans="1:4" ht="15" customHeight="1">
      <c r="A23" s="108">
        <v>390</v>
      </c>
      <c r="B23" s="118">
        <v>14.554</v>
      </c>
      <c r="C23" s="119">
        <v>150000</v>
      </c>
      <c r="D23" s="120">
        <v>100</v>
      </c>
    </row>
    <row r="24" spans="1:4" ht="15" customHeight="1">
      <c r="A24" s="108">
        <v>410</v>
      </c>
      <c r="B24" s="118">
        <v>23.596</v>
      </c>
      <c r="C24" s="119">
        <v>67400</v>
      </c>
      <c r="D24" s="120">
        <v>100</v>
      </c>
    </row>
    <row r="25" spans="1:4" ht="15" customHeight="1">
      <c r="A25" s="108">
        <v>430</v>
      </c>
      <c r="B25" s="118">
        <v>23.963999999999999</v>
      </c>
      <c r="C25" s="119">
        <v>39200</v>
      </c>
      <c r="D25" s="120">
        <v>100</v>
      </c>
    </row>
    <row r="26" spans="1:4" ht="15" customHeight="1">
      <c r="A26" s="108">
        <v>450</v>
      </c>
      <c r="B26" s="118">
        <v>29.922000000000001</v>
      </c>
      <c r="C26" s="119">
        <v>25500</v>
      </c>
      <c r="D26" s="120">
        <v>100</v>
      </c>
    </row>
    <row r="27" spans="1:4" ht="15" customHeight="1">
      <c r="A27" s="108">
        <v>470</v>
      </c>
      <c r="B27" s="118">
        <v>31.471</v>
      </c>
      <c r="C27" s="119">
        <v>17200</v>
      </c>
      <c r="D27" s="120">
        <v>100</v>
      </c>
    </row>
    <row r="28" spans="1:4" ht="15" customHeight="1">
      <c r="A28" s="108">
        <v>490</v>
      </c>
      <c r="B28" s="118">
        <v>30.971</v>
      </c>
      <c r="C28" s="119">
        <v>12700</v>
      </c>
      <c r="D28" s="120">
        <v>100</v>
      </c>
    </row>
    <row r="29" spans="1:4" ht="15" customHeight="1">
      <c r="A29" s="108">
        <v>510</v>
      </c>
      <c r="B29" s="118">
        <v>30.34</v>
      </c>
      <c r="C29" s="119">
        <v>9700</v>
      </c>
      <c r="D29" s="120">
        <v>100</v>
      </c>
    </row>
    <row r="30" spans="1:4" ht="15" customHeight="1">
      <c r="A30" s="108">
        <v>530</v>
      </c>
      <c r="B30" s="118">
        <v>30.786000000000001</v>
      </c>
      <c r="C30" s="119">
        <v>7850</v>
      </c>
      <c r="D30" s="120">
        <v>100</v>
      </c>
    </row>
    <row r="31" spans="1:4" ht="15" customHeight="1">
      <c r="A31" s="108">
        <v>550</v>
      </c>
      <c r="B31" s="118">
        <v>46.055</v>
      </c>
      <c r="C31" s="119">
        <v>6390</v>
      </c>
      <c r="D31" s="120">
        <v>100</v>
      </c>
    </row>
    <row r="32" spans="1:4" ht="15" customHeight="1">
      <c r="A32" s="108">
        <v>590</v>
      </c>
      <c r="B32" s="118">
        <v>59.070999999999998</v>
      </c>
      <c r="C32" s="119">
        <v>4490</v>
      </c>
      <c r="D32" s="120">
        <v>100</v>
      </c>
    </row>
    <row r="33" spans="1:4" ht="15" customHeight="1">
      <c r="A33" s="108">
        <v>630</v>
      </c>
      <c r="B33" s="118">
        <v>57.249000000000002</v>
      </c>
      <c r="C33" s="119">
        <v>3270</v>
      </c>
      <c r="D33" s="120">
        <v>100</v>
      </c>
    </row>
    <row r="34" spans="1:4" ht="15" customHeight="1">
      <c r="A34" s="108">
        <v>670</v>
      </c>
      <c r="B34" s="118">
        <v>54.423999999999999</v>
      </c>
      <c r="C34" s="119">
        <v>2390</v>
      </c>
      <c r="D34" s="120">
        <v>100</v>
      </c>
    </row>
    <row r="35" spans="1:4" ht="15" customHeight="1">
      <c r="A35" s="108">
        <v>710</v>
      </c>
      <c r="B35" s="118">
        <v>37.317999999999998</v>
      </c>
      <c r="C35" s="119">
        <v>1780</v>
      </c>
      <c r="D35" s="120">
        <v>100</v>
      </c>
    </row>
    <row r="36" spans="1:4" ht="15" customHeight="1">
      <c r="A36" s="108">
        <v>730</v>
      </c>
      <c r="B36" s="118">
        <v>22.895</v>
      </c>
      <c r="C36" s="119">
        <v>1540</v>
      </c>
      <c r="D36" s="120">
        <v>100</v>
      </c>
    </row>
    <row r="37" spans="1:4" ht="15" customHeight="1">
      <c r="A37" s="108">
        <v>750</v>
      </c>
      <c r="B37" s="118">
        <v>23.689</v>
      </c>
      <c r="C37" s="119">
        <v>1300</v>
      </c>
      <c r="D37" s="120">
        <v>100</v>
      </c>
    </row>
    <row r="38" spans="1:4" ht="15" customHeight="1">
      <c r="A38" s="108">
        <v>770</v>
      </c>
      <c r="B38" s="118">
        <v>19.434999999999999</v>
      </c>
      <c r="C38" s="119">
        <v>1100</v>
      </c>
      <c r="D38" s="120">
        <v>100</v>
      </c>
    </row>
    <row r="39" spans="1:4" ht="15" customHeight="1">
      <c r="A39" s="108">
        <v>790</v>
      </c>
      <c r="B39" s="118">
        <v>22.38</v>
      </c>
      <c r="C39" s="119">
        <v>927</v>
      </c>
      <c r="D39" s="120">
        <v>100</v>
      </c>
    </row>
    <row r="40" spans="1:4" ht="15" customHeight="1">
      <c r="A40" s="108">
        <v>810</v>
      </c>
      <c r="B40" s="118">
        <v>19.899000000000001</v>
      </c>
      <c r="C40" s="119">
        <v>707</v>
      </c>
      <c r="D40" s="120">
        <v>100</v>
      </c>
    </row>
    <row r="41" spans="1:4" ht="15" customHeight="1">
      <c r="A41" s="108">
        <v>830</v>
      </c>
      <c r="B41" s="118">
        <v>23.96</v>
      </c>
      <c r="C41" s="119">
        <v>646</v>
      </c>
      <c r="D41" s="120">
        <v>100</v>
      </c>
    </row>
    <row r="42" spans="1:4" ht="15" customHeight="1">
      <c r="A42" s="108">
        <v>860</v>
      </c>
      <c r="B42" s="118">
        <v>33.649000000000001</v>
      </c>
      <c r="C42" s="119">
        <v>480</v>
      </c>
      <c r="D42" s="120">
        <v>100</v>
      </c>
    </row>
    <row r="43" spans="1:4" ht="15" customHeight="1">
      <c r="A43" s="108">
        <v>900</v>
      </c>
      <c r="B43" s="118">
        <v>23.914999999999999</v>
      </c>
      <c r="C43" s="119">
        <v>306</v>
      </c>
      <c r="D43" s="120">
        <v>100</v>
      </c>
    </row>
    <row r="44" spans="1:4" ht="15" customHeight="1">
      <c r="A44" s="108">
        <v>920</v>
      </c>
      <c r="B44" s="118">
        <v>13.4</v>
      </c>
      <c r="C44" s="119">
        <v>200</v>
      </c>
      <c r="D44" s="120">
        <v>100</v>
      </c>
    </row>
    <row r="45" spans="1:4" ht="15" customHeight="1">
      <c r="A45" s="108">
        <v>940</v>
      </c>
      <c r="B45" s="118">
        <v>5.9450000000000003</v>
      </c>
      <c r="C45" s="119">
        <v>183</v>
      </c>
      <c r="D45" s="120">
        <v>100</v>
      </c>
    </row>
    <row r="46" spans="1:4" ht="15" customHeight="1">
      <c r="A46" s="108">
        <v>960</v>
      </c>
      <c r="B46" s="118">
        <v>12.295999999999999</v>
      </c>
      <c r="C46" s="119">
        <v>134</v>
      </c>
      <c r="D46" s="120">
        <v>100</v>
      </c>
    </row>
    <row r="47" spans="1:4" ht="15" customHeight="1">
      <c r="A47" s="108">
        <v>990</v>
      </c>
      <c r="B47" s="118">
        <v>39.5</v>
      </c>
      <c r="C47" s="119">
        <v>79.2</v>
      </c>
      <c r="D47" s="120">
        <v>100</v>
      </c>
    </row>
    <row r="48" spans="1:4" ht="15" customHeight="1">
      <c r="A48" s="108">
        <v>1070</v>
      </c>
      <c r="B48" s="118">
        <v>45.457000000000001</v>
      </c>
      <c r="C48" s="119">
        <v>8</v>
      </c>
      <c r="D48" s="120">
        <v>100</v>
      </c>
    </row>
    <row r="49" spans="1:4" ht="15" customHeight="1">
      <c r="A49" s="108">
        <v>1120</v>
      </c>
      <c r="B49" s="118">
        <v>5.609</v>
      </c>
      <c r="C49" s="119">
        <v>2</v>
      </c>
      <c r="D49" s="120">
        <v>100</v>
      </c>
    </row>
    <row r="50" spans="1:4" ht="15" customHeight="1">
      <c r="A50" s="108">
        <v>1140</v>
      </c>
      <c r="B50" s="118">
        <v>6.4459999999999997</v>
      </c>
      <c r="C50" s="119">
        <v>1</v>
      </c>
      <c r="D50" s="120">
        <v>100</v>
      </c>
    </row>
    <row r="51" spans="1:4" ht="15" customHeight="1">
      <c r="A51" s="108">
        <v>1180</v>
      </c>
      <c r="B51" s="118">
        <v>17.074000000000002</v>
      </c>
      <c r="C51" s="119">
        <v>6.5000000000000002E-2</v>
      </c>
      <c r="D51" s="120">
        <v>100</v>
      </c>
    </row>
    <row r="52" spans="1:4" ht="15" customHeight="1">
      <c r="A52" s="108">
        <v>1220</v>
      </c>
      <c r="B52" s="118">
        <v>22.693000000000001</v>
      </c>
      <c r="C52" s="119">
        <v>8.2000000000000007E-3</v>
      </c>
      <c r="D52" s="120">
        <v>100</v>
      </c>
    </row>
    <row r="53" spans="1:4" ht="15" customHeight="1">
      <c r="A53" s="108">
        <v>1280</v>
      </c>
      <c r="B53" s="118">
        <v>27.044</v>
      </c>
      <c r="C53" s="119">
        <v>1.2E-4</v>
      </c>
      <c r="D53" s="120">
        <v>100</v>
      </c>
    </row>
    <row r="54" spans="1:4" ht="15" customHeight="1">
      <c r="A54" s="108">
        <v>1360</v>
      </c>
      <c r="B54" s="118">
        <v>5.1020000000000003</v>
      </c>
      <c r="C54" s="119">
        <v>9.9999999999999995E-7</v>
      </c>
      <c r="D54" s="120">
        <v>100</v>
      </c>
    </row>
    <row r="55" spans="1:4" ht="15" customHeight="1">
      <c r="A55" s="108">
        <v>1460</v>
      </c>
      <c r="B55" s="118">
        <v>7.0750000000000002</v>
      </c>
      <c r="C55" s="119">
        <v>9.9999999999999995E-7</v>
      </c>
      <c r="D55" s="120">
        <v>100</v>
      </c>
    </row>
    <row r="56" spans="1:4" ht="15" customHeight="1">
      <c r="A56" s="108">
        <v>1540</v>
      </c>
      <c r="B56" s="118">
        <v>15.49</v>
      </c>
      <c r="C56" s="119">
        <v>9.9999999999999995E-7</v>
      </c>
      <c r="D56" s="120">
        <v>100</v>
      </c>
    </row>
    <row r="57" spans="1:4" ht="15" customHeight="1">
      <c r="A57" s="108">
        <v>1580</v>
      </c>
      <c r="B57" s="118">
        <v>8.718</v>
      </c>
      <c r="C57" s="119">
        <v>9.9999999999999995E-7</v>
      </c>
      <c r="D57" s="120">
        <v>100</v>
      </c>
    </row>
    <row r="58" spans="1:4" ht="15" customHeight="1">
      <c r="A58" s="108">
        <v>1610</v>
      </c>
      <c r="B58" s="118">
        <v>7.0670000000000002</v>
      </c>
      <c r="C58" s="119">
        <v>9.9999999999999995E-7</v>
      </c>
      <c r="D58" s="120">
        <v>100</v>
      </c>
    </row>
    <row r="59" spans="1:4" ht="15" customHeight="1">
      <c r="A59" s="108">
        <v>1640</v>
      </c>
      <c r="B59" s="118">
        <v>14.372</v>
      </c>
      <c r="C59" s="119">
        <v>9.9999999999999995E-7</v>
      </c>
      <c r="D59" s="120">
        <v>100</v>
      </c>
    </row>
    <row r="60" spans="1:4" ht="15" customHeight="1">
      <c r="A60" s="108">
        <v>1740</v>
      </c>
      <c r="B60" s="118">
        <v>16.759</v>
      </c>
      <c r="C60" s="119">
        <v>9.9999999999999995E-7</v>
      </c>
      <c r="D60" s="120">
        <v>100</v>
      </c>
    </row>
    <row r="61" spans="1:4" ht="15" customHeight="1">
      <c r="A61" s="108">
        <v>1860</v>
      </c>
      <c r="B61" s="118">
        <v>0.14899999999999999</v>
      </c>
      <c r="C61" s="119">
        <v>9.9999999999999995E-7</v>
      </c>
      <c r="D61" s="120">
        <v>100</v>
      </c>
    </row>
    <row r="62" spans="1:4" ht="15" customHeight="1">
      <c r="A62" s="108">
        <v>1960</v>
      </c>
      <c r="B62" s="118">
        <v>1.452</v>
      </c>
      <c r="C62" s="119">
        <v>9.9999999999999995E-7</v>
      </c>
      <c r="D62" s="120">
        <v>100</v>
      </c>
    </row>
    <row r="63" spans="1:4" ht="15" customHeight="1">
      <c r="A63" s="108">
        <v>2000</v>
      </c>
      <c r="B63" s="118">
        <v>2.875</v>
      </c>
      <c r="C63" s="119">
        <v>9.9999999999999995E-7</v>
      </c>
      <c r="D63" s="120">
        <v>100</v>
      </c>
    </row>
    <row r="64" spans="1:4" ht="15" customHeight="1">
      <c r="A64" s="108">
        <v>2060</v>
      </c>
      <c r="B64" s="118">
        <v>6.0549999999999997</v>
      </c>
      <c r="C64" s="119">
        <v>9.9999999999999995E-7</v>
      </c>
      <c r="D64" s="120">
        <v>100</v>
      </c>
    </row>
    <row r="65" spans="1:4" ht="15" customHeight="1">
      <c r="A65" s="108">
        <v>2150</v>
      </c>
      <c r="B65" s="118">
        <v>8.3670000000000009</v>
      </c>
      <c r="C65" s="119">
        <v>9.9999999999999995E-7</v>
      </c>
      <c r="D65" s="120">
        <v>100</v>
      </c>
    </row>
    <row r="66" spans="1:4" ht="15" customHeight="1">
      <c r="A66" s="108">
        <v>2270</v>
      </c>
      <c r="B66" s="118">
        <v>9.8369999999999997</v>
      </c>
      <c r="C66" s="119">
        <v>9.9999999999999995E-7</v>
      </c>
      <c r="D66" s="120">
        <v>100</v>
      </c>
    </row>
    <row r="67" spans="1:4" ht="15" customHeight="1">
      <c r="A67" s="108">
        <v>2450</v>
      </c>
      <c r="B67" s="118">
        <v>3.6819999999999999</v>
      </c>
      <c r="C67" s="119">
        <v>9.9999999999999995E-7</v>
      </c>
      <c r="D67" s="120">
        <v>100</v>
      </c>
    </row>
    <row r="68" spans="1:4" ht="15" customHeight="1">
      <c r="A68" s="108">
        <v>2540</v>
      </c>
      <c r="B68" s="118">
        <v>5.8000000000000003E-2</v>
      </c>
      <c r="C68" s="119">
        <v>9.9999999999999995E-7</v>
      </c>
      <c r="D68" s="120">
        <v>100</v>
      </c>
    </row>
    <row r="69" spans="1:4" ht="15" customHeight="1">
      <c r="A69" s="108">
        <v>2980</v>
      </c>
      <c r="B69" s="118">
        <v>0.47799999999999998</v>
      </c>
      <c r="C69" s="119">
        <v>9.9999999999999995E-7</v>
      </c>
      <c r="D69" s="120">
        <v>100</v>
      </c>
    </row>
    <row r="70" spans="1:4" ht="15" customHeight="1">
      <c r="A70" s="108">
        <v>3060</v>
      </c>
      <c r="B70" s="118">
        <v>0.27600000000000002</v>
      </c>
      <c r="C70" s="119">
        <v>9.9999999999999995E-7</v>
      </c>
      <c r="D70" s="120">
        <v>100</v>
      </c>
    </row>
    <row r="71" spans="1:4" ht="15" customHeight="1">
      <c r="A71" s="108">
        <v>3160</v>
      </c>
      <c r="B71" s="118">
        <v>0.61099999999999999</v>
      </c>
      <c r="C71" s="119">
        <v>9.9999999999999995E-7</v>
      </c>
      <c r="D71" s="120">
        <v>100</v>
      </c>
    </row>
    <row r="72" spans="1:4" ht="15" customHeight="1">
      <c r="A72" s="108">
        <v>3240</v>
      </c>
      <c r="B72" s="118">
        <v>0.307</v>
      </c>
      <c r="C72" s="119">
        <v>9.9999999999999995E-7</v>
      </c>
      <c r="D72" s="120">
        <v>100</v>
      </c>
    </row>
    <row r="73" spans="1:4" ht="15" customHeight="1">
      <c r="A73" s="108">
        <v>3340</v>
      </c>
      <c r="B73" s="118">
        <v>0.64400000000000002</v>
      </c>
      <c r="C73" s="119">
        <v>9.9999999999999995E-7</v>
      </c>
      <c r="D73" s="120">
        <v>100</v>
      </c>
    </row>
    <row r="74" spans="1:4" ht="15" customHeight="1">
      <c r="A74" s="108">
        <v>3580</v>
      </c>
      <c r="B74" s="118">
        <v>1.5</v>
      </c>
      <c r="C74" s="119">
        <v>9.9999999999999995E-7</v>
      </c>
      <c r="D74" s="120">
        <v>100</v>
      </c>
    </row>
    <row r="75" spans="1:4" ht="15" customHeight="1">
      <c r="A75" s="108">
        <v>4000</v>
      </c>
      <c r="B75" s="108">
        <v>1.5840000000000001</v>
      </c>
      <c r="C75" s="119">
        <v>9.9999999999999995E-7</v>
      </c>
      <c r="D75" s="120">
        <v>100</v>
      </c>
    </row>
    <row r="76" spans="1:4" ht="15" customHeight="1">
      <c r="A76" s="108"/>
      <c r="B76" s="108"/>
      <c r="C76" s="119"/>
      <c r="D76" s="120"/>
    </row>
  </sheetData>
  <mergeCells count="8">
    <mergeCell ref="J2:J3"/>
    <mergeCell ref="I4:J4"/>
    <mergeCell ref="I9:J9"/>
    <mergeCell ref="F4:G4"/>
    <mergeCell ref="F9:G9"/>
    <mergeCell ref="F2:F3"/>
    <mergeCell ref="I2:I3"/>
    <mergeCell ref="G2:G3"/>
  </mergeCells>
  <dataValidations count="18">
    <dataValidation type="decimal" operator="greaterThan" showInputMessage="1" showErrorMessage="1" error="Must be a positive value." sqref="G8 G13 J8 J13" xr:uid="{00000000-0002-0000-0300-000000000000}">
      <formula1>0</formula1>
    </dataValidation>
    <dataValidation type="decimal" allowBlank="1" showInputMessage="1" showErrorMessage="1" error="Intensity must be between 0 and 1000 suns, inclusive." sqref="C5" xr:uid="{00000000-0002-0000-0300-000002000000}">
      <formula1>0</formula1>
      <formula2>1000</formula2>
    </dataValidation>
    <dataValidation type="decimal" allowBlank="1" showInputMessage="1" showErrorMessage="1" error="Intensity must be between 0 and 100 W/cm2, inclusive." sqref="C7:C8" xr:uid="{00000000-0002-0000-0300-000003000000}">
      <formula1>0</formula1>
      <formula2>100</formula2>
    </dataValidation>
    <dataValidation type="decimal" allowBlank="1" showInputMessage="1" showErrorMessage="1" error="Wavelength must be between 100 and 5000 nm, inclusive." sqref="C9" xr:uid="{00000000-0002-0000-0300-000004000000}">
      <formula1>100</formula1>
      <formula2>5000</formula2>
    </dataValidation>
    <dataValidation type="decimal" allowBlank="1" showInputMessage="1" showErrorMessage="1" error="Bandgap must be between 0.1 and 5 eV, inclusive." sqref="C11" xr:uid="{00000000-0002-0000-0300-000005000000}">
      <formula1>0.1</formula1>
      <formula2>5</formula2>
    </dataValidation>
    <dataValidation type="decimal" allowBlank="1" showInputMessage="1" showErrorMessage="1" error="Absorption edge must be between 0 and 5 eV, inclusive." sqref="C12" xr:uid="{00000000-0002-0000-0300-000006000000}">
      <formula1>0</formula1>
      <formula2>5</formula2>
    </dataValidation>
    <dataValidation type="decimal" allowBlank="1" showInputMessage="1" showErrorMessage="1" error="Must be a decimal value between 0 and 100, inclusive." sqref="C13" xr:uid="{00000000-0002-0000-0300-000007000000}">
      <formula1>0</formula1>
      <formula2>100</formula2>
    </dataValidation>
    <dataValidation type="decimal" showInputMessage="1" showErrorMessage="1" error="Must be a decimal value between 0 and 100, inclusive." sqref="G5:G7 G12 J5:J7 J12" xr:uid="{00000000-0002-0000-0300-000008000000}">
      <formula1>0</formula1>
      <formula2>100</formula2>
    </dataValidation>
    <dataValidation type="decimal" allowBlank="1" showInputMessage="1" showErrorMessage="1" error="Must be between 100 and 5000 nm, inclusive." sqref="A17:A76" xr:uid="{00000000-0002-0000-0300-000009000000}">
      <formula1>100</formula1>
      <formula2>5000</formula2>
    </dataValidation>
    <dataValidation type="decimal" operator="greaterThanOrEqual" allowBlank="1" showInputMessage="1" showErrorMessage="1" error="Must not be a negative value." sqref="B17:B76 D17:D76" xr:uid="{00000000-0002-0000-0300-00000A000000}">
      <formula1>0</formula1>
    </dataValidation>
    <dataValidation type="decimal" operator="greaterThanOrEqual" allowBlank="1" showInputMessage="1" showErrorMessage="1" error="Must be a positive value." sqref="C17:C76" xr:uid="{00000000-0002-0000-0300-00000B000000}">
      <formula1>0</formula1>
    </dataValidation>
    <dataValidation type="list" showErrorMessage="1" sqref="B2" xr:uid="{00000000-0002-0000-0300-00000C000000}">
      <formula1>N3:N6</formula1>
    </dataValidation>
    <dataValidation type="list" showErrorMessage="1" sqref="G10" xr:uid="{00000000-0002-0000-0300-00000E000000}">
      <formula1>P3:P5</formula1>
    </dataValidation>
    <dataValidation type="list" allowBlank="1" showErrorMessage="1" sqref="G11" xr:uid="{00000000-0002-0000-0300-00000F000000}">
      <formula1>Q3:Q4</formula1>
    </dataValidation>
    <dataValidation type="decimal" allowBlank="1" showInputMessage="1" showErrorMessage="1" error="Intensity must be between 0 and 1000 suns, inclusive." sqref="C4" xr:uid="{E8871CC4-19BB-4495-8E8D-AB7315921F7A}">
      <formula1>0</formula1>
      <formula2>100</formula2>
    </dataValidation>
    <dataValidation type="list" showInputMessage="1" showErrorMessage="1" sqref="G2:G3 J2:J3" xr:uid="{5D1165F1-A3C0-44AF-90B6-C8536F814728}">
      <formula1>$O$3:$O$5</formula1>
    </dataValidation>
    <dataValidation type="list" showErrorMessage="1" sqref="J10" xr:uid="{C72C7260-F321-4749-90CB-E67F759EEFEA}">
      <formula1>P3:P5</formula1>
    </dataValidation>
    <dataValidation type="list" showErrorMessage="1" sqref="J11" xr:uid="{6C88E6AB-4318-4164-A3EB-F1E81D5FFA5B}">
      <formula1>Q3:Q4</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OnDefaultSpectrum">
                <anchor moveWithCells="1" sizeWithCells="1">
                  <from>
                    <xdr:col>2</xdr:col>
                    <xdr:colOff>295275</xdr:colOff>
                    <xdr:row>1</xdr:row>
                    <xdr:rowOff>28575</xdr:rowOff>
                  </from>
                  <to>
                    <xdr:col>3</xdr:col>
                    <xdr:colOff>561975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320625D0-DFE2-419F-B22B-58B062F2BD7D}">
          <x14:formula1>
            <xm:f>Dashboard!$R$23:$R$24</xm:f>
          </x14:formula1>
          <xm:sqref>C10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I1682"/>
  <sheetViews>
    <sheetView tabSelected="1" topLeftCell="AW36" zoomScale="85" zoomScaleNormal="85" workbookViewId="0">
      <selection activeCell="BE2" sqref="BE2:BE44"/>
    </sheetView>
  </sheetViews>
  <sheetFormatPr defaultColWidth="8.85546875" defaultRowHeight="15"/>
  <cols>
    <col min="1" max="6" width="9.140625" customWidth="1"/>
    <col min="7" max="7" width="3.7109375" customWidth="1"/>
    <col min="8" max="9" width="9.140625" style="16" customWidth="1"/>
    <col min="10" max="10" width="15.7109375" style="25" customWidth="1"/>
    <col min="11" max="11" width="12.7109375" customWidth="1"/>
    <col min="12" max="12" width="3.7109375" customWidth="1"/>
    <col min="13" max="54" width="9.140625" customWidth="1"/>
    <col min="64" max="64" width="8.85546875" customWidth="1"/>
  </cols>
  <sheetData>
    <row r="1" spans="1:139" ht="15" customHeight="1">
      <c r="A1" s="139" t="s">
        <v>77</v>
      </c>
      <c r="B1" s="3"/>
      <c r="C1" s="2"/>
      <c r="D1" s="80" t="s">
        <v>183</v>
      </c>
      <c r="E1" s="3"/>
      <c r="F1" s="3"/>
      <c r="H1" s="126" t="s">
        <v>270</v>
      </c>
      <c r="I1" s="126" t="s">
        <v>299</v>
      </c>
      <c r="J1" s="127" t="s">
        <v>313</v>
      </c>
      <c r="K1" s="1" t="s">
        <v>87</v>
      </c>
      <c r="M1" s="2" t="s">
        <v>225</v>
      </c>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E1" s="185" t="s">
        <v>300</v>
      </c>
      <c r="BH1" s="185" t="s">
        <v>301</v>
      </c>
      <c r="BI1">
        <f>IF(Device!T15&lt;0,ABS(Device!T15),Recombination!N2^2/ABS(Device!T15))</f>
        <v>4000000000000000</v>
      </c>
      <c r="BJ1" s="185" t="s">
        <v>302</v>
      </c>
      <c r="BK1">
        <f>IF(Device!T15&gt;0,ABS(Device!T15),Recombination!N2^2/ABS(Device!T15))</f>
        <v>18318.400000000001</v>
      </c>
      <c r="BL1" s="185" t="s">
        <v>303</v>
      </c>
      <c r="BM1">
        <f>+_xlfn.FORECAST.LINEAR(1150,Illumination!C50:C51,Illumination!A50:A51)</f>
        <v>0.76624999999999943</v>
      </c>
      <c r="BN1" s="185" t="s">
        <v>304</v>
      </c>
      <c r="BO1" s="4">
        <v>1E-14</v>
      </c>
    </row>
    <row r="2" spans="1:139" ht="15" customHeight="1">
      <c r="A2" s="1" t="s">
        <v>80</v>
      </c>
      <c r="B2" s="1" t="s">
        <v>81</v>
      </c>
      <c r="C2" s="1" t="s">
        <v>83</v>
      </c>
      <c r="D2" s="1" t="s">
        <v>28</v>
      </c>
      <c r="E2" s="1" t="s">
        <v>79</v>
      </c>
      <c r="F2" s="1" t="s">
        <v>82</v>
      </c>
      <c r="H2" s="23">
        <v>0</v>
      </c>
      <c r="I2" s="23">
        <v>0</v>
      </c>
      <c r="J2" s="19">
        <v>7410961457372872</v>
      </c>
      <c r="K2" s="115" t="s">
        <v>95</v>
      </c>
      <c r="M2" s="130" t="s">
        <v>2</v>
      </c>
      <c r="N2" s="132">
        <v>0</v>
      </c>
      <c r="O2" s="131">
        <v>1.8750000000000003E-2</v>
      </c>
      <c r="P2" s="131">
        <v>3.7500000000000006E-2</v>
      </c>
      <c r="Q2" s="131">
        <v>5.6250000000000008E-2</v>
      </c>
      <c r="R2" s="131">
        <v>7.5000000000000011E-2</v>
      </c>
      <c r="S2" s="131">
        <v>9.3750000000000014E-2</v>
      </c>
      <c r="T2" s="131">
        <v>0.11250000000000002</v>
      </c>
      <c r="U2" s="131">
        <v>0.13125000000000003</v>
      </c>
      <c r="V2" s="131">
        <v>0.15000000000000002</v>
      </c>
      <c r="W2" s="131">
        <v>0.16875000000000001</v>
      </c>
      <c r="X2" s="131">
        <v>0.18750000000000003</v>
      </c>
      <c r="Y2" s="131">
        <v>0.20625000000000004</v>
      </c>
      <c r="Z2" s="131">
        <v>0.22500000000000003</v>
      </c>
      <c r="AA2" s="131">
        <v>0.24375000000000002</v>
      </c>
      <c r="AB2" s="131">
        <v>0.26250000000000007</v>
      </c>
      <c r="AC2" s="131">
        <v>0.28125000000000006</v>
      </c>
      <c r="AD2" s="131">
        <v>0.30000000000000004</v>
      </c>
      <c r="AE2" s="131">
        <v>0.31875000000000003</v>
      </c>
      <c r="AF2" s="131">
        <v>0.33750000000000002</v>
      </c>
      <c r="AG2" s="131">
        <v>0.35625000000000007</v>
      </c>
      <c r="AH2" s="131">
        <v>0.37500000000000006</v>
      </c>
      <c r="AI2" s="131">
        <v>0.39375000000000004</v>
      </c>
      <c r="AJ2" s="131">
        <v>0.41250000000000009</v>
      </c>
      <c r="AK2" s="131">
        <v>0.43125000000000008</v>
      </c>
      <c r="AL2" s="131">
        <v>0.45000000000000007</v>
      </c>
      <c r="AM2" s="131">
        <v>0.46875000000000006</v>
      </c>
      <c r="AN2" s="131">
        <v>0.48750000000000004</v>
      </c>
      <c r="AO2" s="131">
        <v>0.50625000000000009</v>
      </c>
      <c r="AP2" s="131">
        <v>0.52500000000000013</v>
      </c>
      <c r="AQ2" s="131">
        <v>0.54375000000000007</v>
      </c>
      <c r="AR2" s="131">
        <v>0.56250000000000011</v>
      </c>
      <c r="AS2" s="131">
        <v>0.58125000000000004</v>
      </c>
      <c r="AT2" s="131">
        <v>0.60000000000000009</v>
      </c>
      <c r="AU2" s="131">
        <v>0.61875000000000013</v>
      </c>
      <c r="AV2" s="131">
        <v>0.63750000000000007</v>
      </c>
      <c r="AW2" s="131">
        <v>0.65625000000000011</v>
      </c>
      <c r="AX2" s="131">
        <v>0.67500000000000004</v>
      </c>
      <c r="AY2" s="131">
        <v>0.69375000000000009</v>
      </c>
      <c r="AZ2" s="131">
        <v>0.71250000000000013</v>
      </c>
      <c r="BA2" s="131">
        <v>0.73125000000000007</v>
      </c>
      <c r="BB2" s="131">
        <v>0.75000000000000011</v>
      </c>
      <c r="BC2" s="206"/>
      <c r="BE2" s="12">
        <f>+N2</f>
        <v>0</v>
      </c>
      <c r="BF2" s="12">
        <f t="shared" ref="BF2:CS2" si="0">+O2</f>
        <v>1.8750000000000003E-2</v>
      </c>
      <c r="BG2" s="12">
        <f t="shared" si="0"/>
        <v>3.7500000000000006E-2</v>
      </c>
      <c r="BH2" s="12">
        <f t="shared" si="0"/>
        <v>5.6250000000000008E-2</v>
      </c>
      <c r="BI2" s="12">
        <f t="shared" si="0"/>
        <v>7.5000000000000011E-2</v>
      </c>
      <c r="BJ2" s="12">
        <f t="shared" si="0"/>
        <v>9.3750000000000014E-2</v>
      </c>
      <c r="BK2" s="12">
        <f t="shared" si="0"/>
        <v>0.11250000000000002</v>
      </c>
      <c r="BL2" s="12">
        <f t="shared" si="0"/>
        <v>0.13125000000000003</v>
      </c>
      <c r="BM2" s="12">
        <f t="shared" si="0"/>
        <v>0.15000000000000002</v>
      </c>
      <c r="BN2" s="12">
        <f t="shared" si="0"/>
        <v>0.16875000000000001</v>
      </c>
      <c r="BO2" s="12">
        <f t="shared" si="0"/>
        <v>0.18750000000000003</v>
      </c>
      <c r="BP2" s="12">
        <f t="shared" si="0"/>
        <v>0.20625000000000004</v>
      </c>
      <c r="BQ2" s="12">
        <f t="shared" si="0"/>
        <v>0.22500000000000003</v>
      </c>
      <c r="BR2" s="12">
        <f t="shared" si="0"/>
        <v>0.24375000000000002</v>
      </c>
      <c r="BS2" s="12">
        <f t="shared" si="0"/>
        <v>0.26250000000000007</v>
      </c>
      <c r="BT2" s="12">
        <f t="shared" si="0"/>
        <v>0.28125000000000006</v>
      </c>
      <c r="BU2" s="12">
        <f t="shared" si="0"/>
        <v>0.30000000000000004</v>
      </c>
      <c r="BV2" s="12">
        <f t="shared" si="0"/>
        <v>0.31875000000000003</v>
      </c>
      <c r="BW2" s="12">
        <f t="shared" si="0"/>
        <v>0.33750000000000002</v>
      </c>
      <c r="BX2" s="12">
        <f t="shared" si="0"/>
        <v>0.35625000000000007</v>
      </c>
      <c r="BY2" s="12">
        <f t="shared" si="0"/>
        <v>0.37500000000000006</v>
      </c>
      <c r="BZ2" s="12">
        <f t="shared" si="0"/>
        <v>0.39375000000000004</v>
      </c>
      <c r="CA2" s="12">
        <f t="shared" si="0"/>
        <v>0.41250000000000009</v>
      </c>
      <c r="CB2" s="12">
        <f t="shared" si="0"/>
        <v>0.43125000000000008</v>
      </c>
      <c r="CC2" s="12">
        <f t="shared" si="0"/>
        <v>0.45000000000000007</v>
      </c>
      <c r="CD2" s="12">
        <f t="shared" si="0"/>
        <v>0.46875000000000006</v>
      </c>
      <c r="CE2" s="12">
        <f t="shared" si="0"/>
        <v>0.48750000000000004</v>
      </c>
      <c r="CF2" s="12">
        <f t="shared" si="0"/>
        <v>0.50625000000000009</v>
      </c>
      <c r="CG2" s="12">
        <f t="shared" si="0"/>
        <v>0.52500000000000013</v>
      </c>
      <c r="CH2" s="12">
        <f t="shared" si="0"/>
        <v>0.54375000000000007</v>
      </c>
      <c r="CI2" s="12">
        <f t="shared" si="0"/>
        <v>0.56250000000000011</v>
      </c>
      <c r="CJ2" s="12">
        <f t="shared" si="0"/>
        <v>0.58125000000000004</v>
      </c>
      <c r="CK2" s="12">
        <f t="shared" si="0"/>
        <v>0.60000000000000009</v>
      </c>
      <c r="CL2" s="12">
        <f t="shared" si="0"/>
        <v>0.61875000000000013</v>
      </c>
      <c r="CM2" s="12">
        <f t="shared" si="0"/>
        <v>0.63750000000000007</v>
      </c>
      <c r="CN2" s="12">
        <f t="shared" si="0"/>
        <v>0.65625000000000011</v>
      </c>
      <c r="CO2" s="12">
        <f t="shared" si="0"/>
        <v>0.67500000000000004</v>
      </c>
      <c r="CP2" s="12">
        <f t="shared" si="0"/>
        <v>0.69375000000000009</v>
      </c>
      <c r="CQ2" s="12">
        <f t="shared" si="0"/>
        <v>0.71250000000000013</v>
      </c>
      <c r="CR2" s="12">
        <f t="shared" si="0"/>
        <v>0.73125000000000007</v>
      </c>
      <c r="CS2" s="12">
        <f t="shared" si="0"/>
        <v>0.75000000000000011</v>
      </c>
      <c r="DN2" s="12"/>
      <c r="DO2" s="12"/>
      <c r="DP2" s="12"/>
      <c r="DQ2" s="12"/>
      <c r="DR2" s="12"/>
      <c r="DS2" s="12"/>
      <c r="DT2" s="12"/>
      <c r="DU2" s="12"/>
      <c r="DV2" s="12"/>
      <c r="DW2" s="12"/>
      <c r="DX2" s="12"/>
      <c r="DY2" s="12"/>
      <c r="DZ2" s="12"/>
      <c r="EA2" s="12"/>
      <c r="EB2" s="12"/>
      <c r="EC2" s="12"/>
      <c r="ED2" s="12"/>
      <c r="EE2" s="12"/>
      <c r="EF2" s="12"/>
      <c r="EG2" s="12"/>
      <c r="EH2" s="12"/>
      <c r="EI2" s="12"/>
    </row>
    <row r="3" spans="1:139" ht="15" customHeight="1">
      <c r="A3" s="1" t="s">
        <v>52</v>
      </c>
      <c r="B3" s="1" t="s">
        <v>62</v>
      </c>
      <c r="C3" s="1" t="s">
        <v>68</v>
      </c>
      <c r="D3" s="1" t="s">
        <v>56</v>
      </c>
      <c r="E3" s="1" t="s">
        <v>50</v>
      </c>
      <c r="F3" s="1" t="s">
        <v>50</v>
      </c>
      <c r="H3" s="23">
        <v>0</v>
      </c>
      <c r="I3" s="23">
        <v>3.7500000000000007E-3</v>
      </c>
      <c r="J3" s="19">
        <v>7411158792645472</v>
      </c>
      <c r="K3" t="s">
        <v>89</v>
      </c>
      <c r="M3" s="131">
        <v>0</v>
      </c>
      <c r="N3" s="18">
        <v>7410961457372872</v>
      </c>
      <c r="O3" s="18">
        <v>7411073383600232</v>
      </c>
      <c r="P3" s="18">
        <v>7411402396537944</v>
      </c>
      <c r="Q3" s="18">
        <v>7411929280414096</v>
      </c>
      <c r="R3" s="18">
        <v>7412626093183032</v>
      </c>
      <c r="S3" s="18">
        <v>7413460377742392</v>
      </c>
      <c r="T3" s="18">
        <v>7414399264990360</v>
      </c>
      <c r="U3" s="18">
        <v>7415412232285224</v>
      </c>
      <c r="V3" s="18">
        <v>7416472816211384</v>
      </c>
      <c r="W3" s="18">
        <v>7417559176787040</v>
      </c>
      <c r="X3" s="18">
        <v>7418654097800008</v>
      </c>
      <c r="Y3" s="18">
        <v>7419744496668624</v>
      </c>
      <c r="Z3" s="18">
        <v>7420820829322600</v>
      </c>
      <c r="AA3" s="18">
        <v>7421876367894640</v>
      </c>
      <c r="AB3" s="18">
        <v>7422906564935864</v>
      </c>
      <c r="AC3" s="18">
        <v>7423908424771328</v>
      </c>
      <c r="AD3" s="18">
        <v>7424880013342160</v>
      </c>
      <c r="AE3" s="18">
        <v>7425820017956232</v>
      </c>
      <c r="AF3" s="18">
        <v>7426727445538944</v>
      </c>
      <c r="AG3" s="18">
        <v>7427601378386504</v>
      </c>
      <c r="AH3" s="18">
        <v>7428440848563208</v>
      </c>
      <c r="AI3" s="18">
        <v>7429244755178184</v>
      </c>
      <c r="AJ3" s="18">
        <v>7430011872537200</v>
      </c>
      <c r="AK3" s="18">
        <v>7430740872779592</v>
      </c>
      <c r="AL3" s="18">
        <v>7431430414299840</v>
      </c>
      <c r="AM3" s="18">
        <v>7432079216891296</v>
      </c>
      <c r="AN3" s="18">
        <v>7432686193125704</v>
      </c>
      <c r="AO3" s="18">
        <v>7433250519705496</v>
      </c>
      <c r="AP3" s="18">
        <v>7433771735444336</v>
      </c>
      <c r="AQ3" s="18">
        <v>7434249706934216</v>
      </c>
      <c r="AR3" s="18">
        <v>7434684611892960</v>
      </c>
      <c r="AS3" s="18">
        <v>7435076801558792</v>
      </c>
      <c r="AT3" s="18">
        <v>7435426730431576</v>
      </c>
      <c r="AU3" s="18">
        <v>7435734834805912</v>
      </c>
      <c r="AV3" s="18">
        <v>7436001495208392</v>
      </c>
      <c r="AW3" s="18">
        <v>7436226978882992</v>
      </c>
      <c r="AX3" s="18">
        <v>7436411449857400</v>
      </c>
      <c r="AY3" s="18">
        <v>7436554964367392</v>
      </c>
      <c r="AZ3" s="18">
        <v>7436657522096688</v>
      </c>
      <c r="BA3" s="18">
        <v>7436719078220080</v>
      </c>
      <c r="BB3" s="18">
        <v>7436739603375256</v>
      </c>
      <c r="BE3" s="4">
        <f>+(N3*($BI$1+$BK$1+N3))*EXP(-$BM$1*$M4*0.1)*$BO$1</f>
        <v>8.4541899475370368E+17</v>
      </c>
      <c r="BF3" s="4">
        <f>+(O3*($BI$1+$BK$1+O3))*EXP(-$BM$1*$M4*0.1)*$BO$1</f>
        <v>8.4544005549467149E+17</v>
      </c>
      <c r="BG3" s="4">
        <f t="shared" ref="BG3:CS9" si="1">+(P3*($BI$1+$BK$1+P3))*EXP(-$BM$1*$M4*0.1)*$BO$1</f>
        <v>8.4550196608300941E+17</v>
      </c>
      <c r="BH3" s="4">
        <f t="shared" si="1"/>
        <v>8.4560111468874419E+17</v>
      </c>
      <c r="BI3" s="4">
        <f t="shared" si="1"/>
        <v>8.4573224890827046E+17</v>
      </c>
      <c r="BJ3" s="4">
        <f t="shared" si="1"/>
        <v>8.4588926691620314E+17</v>
      </c>
      <c r="BK3" s="4">
        <f t="shared" si="1"/>
        <v>8.4606598850231462E+17</v>
      </c>
      <c r="BL3" s="4">
        <f t="shared" si="1"/>
        <v>8.4625667353444173E+17</v>
      </c>
      <c r="BM3" s="4">
        <f t="shared" si="1"/>
        <v>8.4645634409792704E+17</v>
      </c>
      <c r="BN3" s="4">
        <f t="shared" si="1"/>
        <v>8.4666089081264038E+17</v>
      </c>
      <c r="BO3" s="4">
        <f t="shared" si="1"/>
        <v>8.468670732160937E+17</v>
      </c>
      <c r="BP3" s="4">
        <f t="shared" si="1"/>
        <v>8.4707242788537421E+17</v>
      </c>
      <c r="BQ3" s="4">
        <f t="shared" si="1"/>
        <v>8.4727515678092045E+17</v>
      </c>
      <c r="BR3" s="4">
        <f t="shared" si="1"/>
        <v>8.4747399157570496E+17</v>
      </c>
      <c r="BS3" s="4">
        <f t="shared" si="1"/>
        <v>8.4766807419546355E+17</v>
      </c>
      <c r="BT3" s="4">
        <f t="shared" si="1"/>
        <v>8.4785683861703949E+17</v>
      </c>
      <c r="BU3" s="4">
        <f t="shared" si="1"/>
        <v>8.4803991867677504E+17</v>
      </c>
      <c r="BV3" s="4">
        <f t="shared" si="1"/>
        <v>8.4821706521758886E+17</v>
      </c>
      <c r="BW3" s="4">
        <f t="shared" si="1"/>
        <v>8.4838808928355917E+17</v>
      </c>
      <c r="BX3" s="4">
        <f t="shared" si="1"/>
        <v>8.4855281611631142E+17</v>
      </c>
      <c r="BY3" s="4">
        <f t="shared" si="1"/>
        <v>8.4871106148996122E+17</v>
      </c>
      <c r="BZ3" s="4">
        <f t="shared" si="1"/>
        <v>8.4886261611742886E+17</v>
      </c>
      <c r="CA3" s="4">
        <f t="shared" si="1"/>
        <v>8.4900724718399731E+17</v>
      </c>
      <c r="CB3" s="4">
        <f t="shared" si="1"/>
        <v>8.4914470261459366E+17</v>
      </c>
      <c r="CC3" s="4">
        <f t="shared" si="1"/>
        <v>8.4927472774996006E+17</v>
      </c>
      <c r="CD3" s="4">
        <f t="shared" si="1"/>
        <v>8.493970795272169E+17</v>
      </c>
      <c r="CE3" s="4">
        <f t="shared" si="1"/>
        <v>8.4951155127246592E+17</v>
      </c>
      <c r="CF3" s="4">
        <f t="shared" si="1"/>
        <v>8.4961798618006336E+17</v>
      </c>
      <c r="CG3" s="4">
        <f t="shared" si="1"/>
        <v>8.4971629581678912E+17</v>
      </c>
      <c r="CH3" s="4">
        <f t="shared" si="1"/>
        <v>8.498064536699703E+17</v>
      </c>
      <c r="CI3" s="4">
        <f t="shared" si="1"/>
        <v>8.498884920243895E+17</v>
      </c>
      <c r="CJ3" s="4">
        <f t="shared" si="1"/>
        <v>8.4996247601672781E+17</v>
      </c>
      <c r="CK3" s="4">
        <f t="shared" si="1"/>
        <v>8.5002849038548416E+17</v>
      </c>
      <c r="CL3" s="4">
        <f t="shared" si="1"/>
        <v>8.5008661655516339E+17</v>
      </c>
      <c r="CM3" s="4">
        <f t="shared" si="1"/>
        <v>8.5013692554516506E+17</v>
      </c>
      <c r="CN3" s="4">
        <f t="shared" si="1"/>
        <v>8.5017946711359706E+17</v>
      </c>
      <c r="CO3" s="4">
        <f t="shared" si="1"/>
        <v>8.5021427165129984E+17</v>
      </c>
      <c r="CP3" s="4">
        <f t="shared" si="1"/>
        <v>8.5024134931485478E+17</v>
      </c>
      <c r="CQ3" s="4">
        <f t="shared" si="1"/>
        <v>8.5026069969201728E+17</v>
      </c>
      <c r="CR3" s="4">
        <f t="shared" si="1"/>
        <v>8.502723140732064E+17</v>
      </c>
      <c r="CS3" s="4">
        <f t="shared" si="1"/>
        <v>8.5027618676693363E+17</v>
      </c>
      <c r="DN3" s="12"/>
      <c r="DO3" s="12"/>
      <c r="DP3" s="12"/>
      <c r="DQ3" s="12"/>
      <c r="DR3" s="12"/>
      <c r="DS3" s="12"/>
      <c r="DT3" s="12"/>
      <c r="DU3" s="12"/>
      <c r="DV3" s="12"/>
      <c r="DW3" s="12"/>
      <c r="DX3" s="12"/>
      <c r="DY3" s="12"/>
      <c r="DZ3" s="12"/>
      <c r="EA3" s="12"/>
      <c r="EB3" s="12"/>
      <c r="EC3" s="12"/>
      <c r="ED3" s="12"/>
      <c r="EE3" s="12"/>
      <c r="EF3" s="12"/>
      <c r="EG3" s="12"/>
      <c r="EH3" s="12"/>
      <c r="EI3" s="12"/>
    </row>
    <row r="4" spans="1:139" ht="15" customHeight="1">
      <c r="A4" s="21">
        <v>0.5578412576848496</v>
      </c>
      <c r="B4" s="17">
        <v>0.14110127046808713</v>
      </c>
      <c r="C4" s="17">
        <v>7.8712110178847855E-2</v>
      </c>
      <c r="D4" s="22">
        <v>300</v>
      </c>
      <c r="E4" s="31">
        <v>56.389142384582662</v>
      </c>
      <c r="F4" s="31">
        <v>99.885114225337887</v>
      </c>
      <c r="H4" s="23">
        <v>0</v>
      </c>
      <c r="I4" s="23">
        <v>7.5000000000000015E-3</v>
      </c>
      <c r="J4" s="19">
        <v>7408784683546720</v>
      </c>
      <c r="K4" s="128">
        <v>0</v>
      </c>
      <c r="M4" s="131">
        <v>3.7500000000000007E-3</v>
      </c>
      <c r="N4" s="18">
        <v>7411158792645472</v>
      </c>
      <c r="O4" s="18">
        <v>7411277435069552</v>
      </c>
      <c r="P4" s="18">
        <v>7411625249465664</v>
      </c>
      <c r="Q4" s="18">
        <v>7412179645715504</v>
      </c>
      <c r="R4" s="18">
        <v>7412908458606880</v>
      </c>
      <c r="S4" s="18">
        <v>7413775473274536</v>
      </c>
      <c r="T4" s="18">
        <v>7414745150594368</v>
      </c>
      <c r="U4" s="18">
        <v>7415785524988872</v>
      </c>
      <c r="V4" s="18">
        <v>7416869620868448</v>
      </c>
      <c r="W4" s="18">
        <v>7417975697345568</v>
      </c>
      <c r="X4" s="18">
        <v>7419086925770408</v>
      </c>
      <c r="Y4" s="18">
        <v>7420190721029296</v>
      </c>
      <c r="Z4" s="18">
        <v>7421278015330944</v>
      </c>
      <c r="AA4" s="18">
        <v>7422342501475264</v>
      </c>
      <c r="AB4" s="18">
        <v>7423379968663792</v>
      </c>
      <c r="AC4" s="18">
        <v>7424387693036704</v>
      </c>
      <c r="AD4" s="18">
        <v>7425363949885712</v>
      </c>
      <c r="AE4" s="18">
        <v>7426307600094616</v>
      </c>
      <c r="AF4" s="18">
        <v>7427217793355936</v>
      </c>
      <c r="AG4" s="18">
        <v>7428093743628040</v>
      </c>
      <c r="AH4" s="18">
        <v>7428934603012408</v>
      </c>
      <c r="AI4" s="18">
        <v>7429739390655576</v>
      </c>
      <c r="AJ4" s="18">
        <v>7430506994381720</v>
      </c>
      <c r="AK4" s="18">
        <v>7431236200397464</v>
      </c>
      <c r="AL4" s="18">
        <v>7431925770951720</v>
      </c>
      <c r="AM4" s="18">
        <v>7432574525064952</v>
      </c>
      <c r="AN4" s="18">
        <v>7433181452066648</v>
      </c>
      <c r="AO4" s="18">
        <v>7433745788968288</v>
      </c>
      <c r="AP4" s="18">
        <v>7434267097658440</v>
      </c>
      <c r="AQ4" s="18">
        <v>7434745248922656</v>
      </c>
      <c r="AR4" s="18">
        <v>7435180394491920</v>
      </c>
      <c r="AS4" s="18">
        <v>7435572857951856</v>
      </c>
      <c r="AT4" s="18">
        <v>7435923057640784</v>
      </c>
      <c r="AU4" s="18">
        <v>7436231406248424</v>
      </c>
      <c r="AV4" s="18">
        <v>7436498264224768</v>
      </c>
      <c r="AW4" s="18">
        <v>7436723893969600</v>
      </c>
      <c r="AX4" s="18">
        <v>7436908459612656</v>
      </c>
      <c r="AY4" s="18">
        <v>7437052029243408</v>
      </c>
      <c r="AZ4" s="18">
        <v>7437154612359016</v>
      </c>
      <c r="BA4" s="18">
        <v>7437216179468416</v>
      </c>
      <c r="BB4" s="18">
        <v>7437236706459168</v>
      </c>
      <c r="BE4" s="4">
        <f t="shared" ref="BE4:BF43" si="2">+(N4*($BI$1+$BK$1+N4))*EXP(-$BM$1*$M5*0.1)*$BO$1</f>
        <v>8.452132251307031E+17</v>
      </c>
      <c r="BF4" s="4">
        <f t="shared" si="2"/>
        <v>8.452355436954281E+17</v>
      </c>
      <c r="BG4" s="4">
        <f t="shared" si="1"/>
        <v>8.4530097484745907E+17</v>
      </c>
      <c r="BH4" s="4">
        <f t="shared" si="1"/>
        <v>8.454052733595977E+17</v>
      </c>
      <c r="BI4" s="4">
        <f t="shared" si="1"/>
        <v>8.4554239420423206E+17</v>
      </c>
      <c r="BJ4" s="4">
        <f t="shared" si="1"/>
        <v>8.45705530536E+17</v>
      </c>
      <c r="BK4" s="4">
        <f t="shared" si="1"/>
        <v>8.4588800153620902E+17</v>
      </c>
      <c r="BL4" s="4">
        <f t="shared" si="1"/>
        <v>8.4608379700216179E+17</v>
      </c>
      <c r="BM4" s="4">
        <f t="shared" si="1"/>
        <v>8.4628784374379994E+17</v>
      </c>
      <c r="BN4" s="4">
        <f t="shared" si="1"/>
        <v>8.464960518483831E+17</v>
      </c>
      <c r="BO4" s="4">
        <f t="shared" si="1"/>
        <v>8.4670525438202253E+17</v>
      </c>
      <c r="BP4" s="4">
        <f t="shared" si="1"/>
        <v>8.469130819652567E+17</v>
      </c>
      <c r="BQ4" s="4">
        <f t="shared" si="1"/>
        <v>8.471178264832425E+17</v>
      </c>
      <c r="BR4" s="4">
        <f t="shared" si="1"/>
        <v>8.473182989705888E+17</v>
      </c>
      <c r="BS4" s="4">
        <f t="shared" si="1"/>
        <v>8.4751370482807987E+17</v>
      </c>
      <c r="BT4" s="4">
        <f t="shared" si="1"/>
        <v>8.4770352925547904E+17</v>
      </c>
      <c r="BU4" s="4">
        <f t="shared" si="1"/>
        <v>8.4788744552215834E+17</v>
      </c>
      <c r="BV4" s="4">
        <f t="shared" si="1"/>
        <v>8.4806523715612736E+17</v>
      </c>
      <c r="BW4" s="4">
        <f t="shared" si="1"/>
        <v>8.4823674208371533E+17</v>
      </c>
      <c r="BX4" s="4">
        <f t="shared" si="1"/>
        <v>8.4840181034649907E+17</v>
      </c>
      <c r="BY4" s="4">
        <f t="shared" si="1"/>
        <v>8.4856028034206554E+17</v>
      </c>
      <c r="BZ4" s="4">
        <f t="shared" si="1"/>
        <v>8.4871196542345894E+17</v>
      </c>
      <c r="CA4" s="4">
        <f t="shared" si="1"/>
        <v>8.4885665420274035E+17</v>
      </c>
      <c r="CB4" s="4">
        <f t="shared" si="1"/>
        <v>8.4899411614842509E+17</v>
      </c>
      <c r="CC4" s="4">
        <f t="shared" si="1"/>
        <v>8.4912411622808922E+17</v>
      </c>
      <c r="CD4" s="4">
        <f t="shared" si="1"/>
        <v>8.4924643013722394E+17</v>
      </c>
      <c r="CE4" s="4">
        <f t="shared" si="1"/>
        <v>8.4936086572072307E+17</v>
      </c>
      <c r="CF4" s="4">
        <f t="shared" si="1"/>
        <v>8.4946727758220787E+17</v>
      </c>
      <c r="CG4" s="4">
        <f t="shared" si="1"/>
        <v>8.4956558166268237E+17</v>
      </c>
      <c r="CH4" s="4">
        <f t="shared" si="1"/>
        <v>8.496557522489609E+17</v>
      </c>
      <c r="CI4" s="4">
        <f t="shared" si="1"/>
        <v>8.4973781671934221E+17</v>
      </c>
      <c r="CJ4" s="4">
        <f t="shared" si="1"/>
        <v>8.4981183498087782E+17</v>
      </c>
      <c r="CK4" s="4">
        <f t="shared" si="1"/>
        <v>8.4987788493188019E+17</v>
      </c>
      <c r="CL4" s="4">
        <f t="shared" si="1"/>
        <v>8.4993604352477914E+17</v>
      </c>
      <c r="CM4" s="4">
        <f t="shared" si="1"/>
        <v>8.4998637797436634E+17</v>
      </c>
      <c r="CN4" s="4">
        <f t="shared" si="1"/>
        <v>8.5002893711212966E+17</v>
      </c>
      <c r="CO4" s="4">
        <f t="shared" si="1"/>
        <v>8.5006375133999949E+17</v>
      </c>
      <c r="CP4" s="4">
        <f t="shared" si="1"/>
        <v>8.5009083304738995E+17</v>
      </c>
      <c r="CQ4" s="4">
        <f t="shared" si="1"/>
        <v>8.5011018367285043E+17</v>
      </c>
      <c r="CR4" s="4">
        <f t="shared" si="1"/>
        <v>8.5012179740118195E+17</v>
      </c>
      <c r="CS4" s="4">
        <f t="shared" si="1"/>
        <v>8.5012566953247526E+17</v>
      </c>
      <c r="DN4" s="12"/>
      <c r="DO4" s="12"/>
      <c r="DP4" s="12"/>
      <c r="DQ4" s="12"/>
      <c r="DR4" s="12"/>
      <c r="DS4" s="12"/>
      <c r="DT4" s="12"/>
      <c r="DU4" s="12"/>
      <c r="DV4" s="12"/>
      <c r="DW4" s="12"/>
      <c r="DX4" s="12"/>
      <c r="DY4" s="12"/>
      <c r="DZ4" s="12"/>
      <c r="EA4" s="12"/>
      <c r="EB4" s="12"/>
      <c r="EC4" s="12"/>
      <c r="ED4" s="12"/>
      <c r="EE4" s="12"/>
      <c r="EF4" s="12"/>
      <c r="EG4" s="12"/>
      <c r="EH4" s="12"/>
      <c r="EI4" s="12"/>
    </row>
    <row r="5" spans="1:139" ht="15" customHeight="1">
      <c r="A5" s="21">
        <v>-3.0467635146013024E-2</v>
      </c>
      <c r="B5" s="17">
        <v>0.15233817573006511</v>
      </c>
      <c r="C5" s="17">
        <v>-4.6413839569528405E-3</v>
      </c>
      <c r="D5" s="22">
        <v>350</v>
      </c>
      <c r="E5" s="31">
        <v>75.185523179443535</v>
      </c>
      <c r="F5" s="31">
        <v>99.885114225337887</v>
      </c>
      <c r="H5" s="23">
        <v>0</v>
      </c>
      <c r="I5" s="23">
        <v>1.1250000000000001E-2</v>
      </c>
      <c r="J5" s="19">
        <v>7406045683913744</v>
      </c>
      <c r="K5" s="1" t="s">
        <v>88</v>
      </c>
      <c r="M5" s="131">
        <v>7.5000000000000015E-3</v>
      </c>
      <c r="N5" s="18">
        <v>7408784683546720</v>
      </c>
      <c r="O5" s="18">
        <v>7408910375701384</v>
      </c>
      <c r="P5" s="18">
        <v>7409277925273728</v>
      </c>
      <c r="Q5" s="18">
        <v>7409861156862256</v>
      </c>
      <c r="R5" s="18">
        <v>7410623458603512</v>
      </c>
      <c r="S5" s="18">
        <v>7411524660982456</v>
      </c>
      <c r="T5" s="18">
        <v>7412526442000688</v>
      </c>
      <c r="U5" s="18">
        <v>7413595334472360</v>
      </c>
      <c r="V5" s="18">
        <v>7414703844025992</v>
      </c>
      <c r="W5" s="18">
        <v>7415830340277912</v>
      </c>
      <c r="X5" s="18">
        <v>7416958410723896</v>
      </c>
      <c r="Y5" s="18">
        <v>7418075995306656</v>
      </c>
      <c r="Z5" s="18">
        <v>7419174534003736</v>
      </c>
      <c r="AA5" s="18">
        <v>7420248165630200</v>
      </c>
      <c r="AB5" s="18">
        <v>7421293041403920</v>
      </c>
      <c r="AC5" s="18">
        <v>7422306727822664</v>
      </c>
      <c r="AD5" s="18">
        <v>7423287726892400</v>
      </c>
      <c r="AE5" s="18">
        <v>7424235084148992</v>
      </c>
      <c r="AF5" s="18">
        <v>7425148101697936</v>
      </c>
      <c r="AG5" s="18">
        <v>7426026129482272</v>
      </c>
      <c r="AH5" s="18">
        <v>7426868443044688</v>
      </c>
      <c r="AI5" s="18">
        <v>7427674180771176</v>
      </c>
      <c r="AJ5" s="18">
        <v>7428442343364480</v>
      </c>
      <c r="AK5" s="18">
        <v>7429171827200784</v>
      </c>
      <c r="AL5" s="18">
        <v>7429861495806536</v>
      </c>
      <c r="AM5" s="18">
        <v>7430510261895584</v>
      </c>
      <c r="AN5" s="18">
        <v>7431117189280488</v>
      </c>
      <c r="AO5" s="18">
        <v>7431681570989144</v>
      </c>
      <c r="AP5" s="18">
        <v>7432202993782488</v>
      </c>
      <c r="AQ5" s="18">
        <v>7432681332612456</v>
      </c>
      <c r="AR5" s="18">
        <v>7433116718923104</v>
      </c>
      <c r="AS5" s="18">
        <v>7433509450717080</v>
      </c>
      <c r="AT5" s="18">
        <v>7433859915285096</v>
      </c>
      <c r="AU5" s="18">
        <v>7434168502698800</v>
      </c>
      <c r="AV5" s="18">
        <v>7434435555997968</v>
      </c>
      <c r="AW5" s="18">
        <v>7434661331989472</v>
      </c>
      <c r="AX5" s="18">
        <v>7434845995529712</v>
      </c>
      <c r="AY5" s="18">
        <v>7434989624245912</v>
      </c>
      <c r="AZ5" s="18">
        <v>7435092237438760</v>
      </c>
      <c r="BA5" s="18">
        <v>7435153818270568</v>
      </c>
      <c r="BB5" s="18">
        <v>7435174348513728</v>
      </c>
      <c r="BE5" s="4">
        <f t="shared" si="2"/>
        <v>8.4452397228713728E+17</v>
      </c>
      <c r="BF5" s="4">
        <f t="shared" si="2"/>
        <v>8.4454760427322189E+17</v>
      </c>
      <c r="BG5" s="4">
        <f t="shared" si="1"/>
        <v>8.4461671084613581E+17</v>
      </c>
      <c r="BH5" s="4">
        <f t="shared" si="1"/>
        <v>8.447263754348919E+17</v>
      </c>
      <c r="BI5" s="4">
        <f t="shared" si="1"/>
        <v>8.4486972069545946E+17</v>
      </c>
      <c r="BJ5" s="4">
        <f t="shared" si="1"/>
        <v>8.4503920018247962E+17</v>
      </c>
      <c r="BK5" s="4">
        <f t="shared" si="1"/>
        <v>8.4522761346512922E+17</v>
      </c>
      <c r="BL5" s="4">
        <f t="shared" si="1"/>
        <v>8.454286710708425E+17</v>
      </c>
      <c r="BM5" s="4">
        <f t="shared" si="1"/>
        <v>8.4563720472599258E+17</v>
      </c>
      <c r="BN5" s="4">
        <f t="shared" si="1"/>
        <v>8.4584914720798336E+17</v>
      </c>
      <c r="BO5" s="4">
        <f t="shared" si="1"/>
        <v>8.4606141127489011E+17</v>
      </c>
      <c r="BP5" s="4">
        <f t="shared" si="1"/>
        <v>8.4627172733838541E+17</v>
      </c>
      <c r="BQ5" s="4">
        <f t="shared" si="1"/>
        <v>8.4647848351778611E+17</v>
      </c>
      <c r="BR5" s="4">
        <f t="shared" si="1"/>
        <v>8.4668057523364966E+17</v>
      </c>
      <c r="BS5" s="4">
        <f t="shared" si="1"/>
        <v>8.4687727629754854E+17</v>
      </c>
      <c r="BT5" s="4">
        <f t="shared" si="1"/>
        <v>8.4706812671925389E+17</v>
      </c>
      <c r="BU5" s="4">
        <f t="shared" si="1"/>
        <v>8.4725284252609242E+17</v>
      </c>
      <c r="BV5" s="4">
        <f t="shared" si="1"/>
        <v>8.47431242048864E+17</v>
      </c>
      <c r="BW5" s="4">
        <f t="shared" si="1"/>
        <v>8.476031919351369E+17</v>
      </c>
      <c r="BX5" s="4">
        <f t="shared" si="1"/>
        <v>8.4776856786188083E+17</v>
      </c>
      <c r="BY5" s="4">
        <f t="shared" si="1"/>
        <v>8.4792723151777549E+17</v>
      </c>
      <c r="BZ5" s="4">
        <f t="shared" si="1"/>
        <v>8.4807901877907712E+17</v>
      </c>
      <c r="CA5" s="4">
        <f t="shared" si="1"/>
        <v>8.4822373960510464E+17</v>
      </c>
      <c r="CB5" s="4">
        <f t="shared" si="1"/>
        <v>8.483611843196704E+17</v>
      </c>
      <c r="CC5" s="4">
        <f t="shared" si="1"/>
        <v>8.4849113708020941E+17</v>
      </c>
      <c r="CD5" s="4">
        <f t="shared" si="1"/>
        <v>8.4861339134400947E+17</v>
      </c>
      <c r="CE5" s="4">
        <f t="shared" si="1"/>
        <v>8.4872776908655206E+17</v>
      </c>
      <c r="CF5" s="4">
        <f t="shared" si="1"/>
        <v>8.4883413554175539E+17</v>
      </c>
      <c r="CG5" s="4">
        <f t="shared" si="1"/>
        <v>8.4893241138221594E+17</v>
      </c>
      <c r="CH5" s="4">
        <f t="shared" si="1"/>
        <v>8.4902257169466253E+17</v>
      </c>
      <c r="CI5" s="4">
        <f t="shared" si="1"/>
        <v>8.491046400208105E+17</v>
      </c>
      <c r="CJ5" s="4">
        <f t="shared" si="1"/>
        <v>8.4917867141533952E+17</v>
      </c>
      <c r="CK5" s="4">
        <f t="shared" si="1"/>
        <v>8.4924473788396966E+17</v>
      </c>
      <c r="CL5" s="4">
        <f t="shared" si="1"/>
        <v>8.4930291207528998E+17</v>
      </c>
      <c r="CM5" s="4">
        <f t="shared" si="1"/>
        <v>8.4935325788656179E+17</v>
      </c>
      <c r="CN5" s="4">
        <f t="shared" si="1"/>
        <v>8.4939582306881165E+17</v>
      </c>
      <c r="CO5" s="4">
        <f t="shared" si="1"/>
        <v>8.4943063814444621E+17</v>
      </c>
      <c r="CP5" s="4">
        <f t="shared" si="1"/>
        <v>8.4945771729395878E+17</v>
      </c>
      <c r="CQ5" s="4">
        <f t="shared" si="1"/>
        <v>8.4947706380296435E+17</v>
      </c>
      <c r="CR5" s="4">
        <f t="shared" si="1"/>
        <v>8.4948867424457126E+17</v>
      </c>
      <c r="CS5" s="4">
        <f t="shared" si="1"/>
        <v>8.4949254503065178E+17</v>
      </c>
      <c r="DN5" s="12"/>
      <c r="DO5" s="12"/>
      <c r="DP5" s="12"/>
      <c r="DQ5" s="12"/>
      <c r="DR5" s="12"/>
      <c r="DS5" s="12"/>
      <c r="DT5" s="12"/>
      <c r="DU5" s="12"/>
      <c r="DV5" s="12"/>
      <c r="DW5" s="12"/>
      <c r="DX5" s="12"/>
      <c r="DY5" s="12"/>
      <c r="DZ5" s="12"/>
      <c r="EA5" s="12"/>
      <c r="EB5" s="12"/>
      <c r="EC5" s="12"/>
      <c r="ED5" s="12"/>
      <c r="EE5" s="12"/>
      <c r="EF5" s="12"/>
      <c r="EG5" s="12"/>
      <c r="EH5" s="12"/>
      <c r="EI5" s="12"/>
    </row>
    <row r="6" spans="1:139" ht="15" customHeight="1">
      <c r="A6" s="21">
        <v>0.23177529976717889</v>
      </c>
      <c r="B6" s="17">
        <v>0.15233812154735665</v>
      </c>
      <c r="C6" s="17">
        <v>3.5308213787607526E-2</v>
      </c>
      <c r="D6" s="22">
        <v>400</v>
      </c>
      <c r="E6" s="31">
        <v>84.583713576874075</v>
      </c>
      <c r="F6" s="31">
        <v>99.885114225337887</v>
      </c>
      <c r="H6" s="23">
        <v>0</v>
      </c>
      <c r="I6" s="23">
        <v>1.5000000000000003E-2</v>
      </c>
      <c r="J6" s="19">
        <v>7403100145815232</v>
      </c>
      <c r="K6" s="115" t="s">
        <v>8</v>
      </c>
      <c r="M6" s="131">
        <v>1.1250000000000001E-2</v>
      </c>
      <c r="N6" s="18">
        <v>7406045683913744</v>
      </c>
      <c r="O6" s="18">
        <v>7406178816851472</v>
      </c>
      <c r="P6" s="18">
        <v>7406567177065672</v>
      </c>
      <c r="Q6" s="18">
        <v>7407180740266984</v>
      </c>
      <c r="R6" s="18">
        <v>7407978166357104</v>
      </c>
      <c r="S6" s="18">
        <v>7408915109619848</v>
      </c>
      <c r="T6" s="18">
        <v>7409950348009752</v>
      </c>
      <c r="U6" s="18">
        <v>7411048868934120</v>
      </c>
      <c r="V6" s="18">
        <v>7412182666734208</v>
      </c>
      <c r="W6" s="18">
        <v>7413330247426688</v>
      </c>
      <c r="X6" s="18">
        <v>7414475650632672</v>
      </c>
      <c r="Y6" s="18">
        <v>7415607374870760</v>
      </c>
      <c r="Z6" s="18">
        <v>7416717400652200</v>
      </c>
      <c r="AA6" s="18">
        <v>7417800339667928</v>
      </c>
      <c r="AB6" s="18">
        <v>7418852729567712</v>
      </c>
      <c r="AC6" s="18">
        <v>7419872445902824</v>
      </c>
      <c r="AD6" s="18">
        <v>7420858233497608</v>
      </c>
      <c r="AE6" s="18">
        <v>7421809333606664</v>
      </c>
      <c r="AF6" s="18">
        <v>7422725209433312</v>
      </c>
      <c r="AG6" s="18">
        <v>7423605351420888</v>
      </c>
      <c r="AH6" s="18">
        <v>7424449161346704</v>
      </c>
      <c r="AI6" s="18">
        <v>7425255896483976</v>
      </c>
      <c r="AJ6" s="18">
        <v>7426024669367232</v>
      </c>
      <c r="AK6" s="18">
        <v>7426754483288168</v>
      </c>
      <c r="AL6" s="18">
        <v>7427444300119304</v>
      </c>
      <c r="AM6" s="18">
        <v>7428093121670536</v>
      </c>
      <c r="AN6" s="18">
        <v>7428700083542056</v>
      </c>
      <c r="AO6" s="18">
        <v>7429264531539024</v>
      </c>
      <c r="AP6" s="18">
        <v>7429786078151112</v>
      </c>
      <c r="AQ6" s="18">
        <v>7430264603155032</v>
      </c>
      <c r="AR6" s="18">
        <v>7430700222054912</v>
      </c>
      <c r="AS6" s="18">
        <v>7431093209823328</v>
      </c>
      <c r="AT6" s="18">
        <v>7431443926751048</v>
      </c>
      <c r="AU6" s="18">
        <v>7431752741811848</v>
      </c>
      <c r="AV6" s="18">
        <v>7432019982630736</v>
      </c>
      <c r="AW6" s="18">
        <v>7432245900252272</v>
      </c>
      <c r="AX6" s="18">
        <v>7432430660434248</v>
      </c>
      <c r="AY6" s="18">
        <v>7432574348753376</v>
      </c>
      <c r="AZ6" s="18">
        <v>7432676993835344</v>
      </c>
      <c r="BA6" s="18">
        <v>7432738589619592</v>
      </c>
      <c r="BB6" s="18">
        <v>7432759123820896</v>
      </c>
      <c r="BE6" s="4">
        <f t="shared" si="2"/>
        <v>8.4376659230509286E+17</v>
      </c>
      <c r="BF6" s="4">
        <f t="shared" si="2"/>
        <v>8.4379160880235571E+17</v>
      </c>
      <c r="BG6" s="4">
        <f t="shared" si="1"/>
        <v>8.4386458609649485E+17</v>
      </c>
      <c r="BH6" s="4">
        <f t="shared" si="1"/>
        <v>8.4397988772949939E+17</v>
      </c>
      <c r="BI6" s="4">
        <f t="shared" si="1"/>
        <v>8.4412975236582387E+17</v>
      </c>
      <c r="BJ6" s="4">
        <f t="shared" si="1"/>
        <v>8.4430585345707443E+17</v>
      </c>
      <c r="BK6" s="4">
        <f t="shared" si="1"/>
        <v>8.4450044978409677E+17</v>
      </c>
      <c r="BL6" s="4">
        <f t="shared" si="1"/>
        <v>8.4470696489889805E+17</v>
      </c>
      <c r="BM6" s="4">
        <f t="shared" si="1"/>
        <v>8.4492013712826317E+17</v>
      </c>
      <c r="BN6" s="4">
        <f t="shared" si="1"/>
        <v>8.451359269137513E+17</v>
      </c>
      <c r="BO6" s="4">
        <f t="shared" si="1"/>
        <v>8.45351333480864E+17</v>
      </c>
      <c r="BP6" s="4">
        <f t="shared" si="1"/>
        <v>8.4556419329810893E+17</v>
      </c>
      <c r="BQ6" s="4">
        <f t="shared" si="1"/>
        <v>8.45772996826832E+17</v>
      </c>
      <c r="BR6" s="4">
        <f t="shared" si="1"/>
        <v>8.4597672886872781E+17</v>
      </c>
      <c r="BS6" s="4">
        <f t="shared" si="1"/>
        <v>8.4617473618758362E+17</v>
      </c>
      <c r="BT6" s="4">
        <f t="shared" si="1"/>
        <v>8.4636661707563738E+17</v>
      </c>
      <c r="BU6" s="4">
        <f t="shared" si="1"/>
        <v>8.4655213331113203E+17</v>
      </c>
      <c r="BV6" s="4">
        <f t="shared" si="1"/>
        <v>8.4673114007872371E+17</v>
      </c>
      <c r="BW6" s="4">
        <f t="shared" si="1"/>
        <v>8.4690353435566029E+17</v>
      </c>
      <c r="BX6" s="4">
        <f t="shared" si="1"/>
        <v>8.4706921828160026E+17</v>
      </c>
      <c r="BY6" s="4">
        <f t="shared" si="1"/>
        <v>8.4722807734279718E+17</v>
      </c>
      <c r="BZ6" s="4">
        <f t="shared" si="1"/>
        <v>8.4737996985494682E+17</v>
      </c>
      <c r="CA6" s="4">
        <f t="shared" si="1"/>
        <v>8.4752472691228762E+17</v>
      </c>
      <c r="CB6" s="4">
        <f t="shared" si="1"/>
        <v>8.4766215906713126E+17</v>
      </c>
      <c r="CC6" s="4">
        <f t="shared" si="1"/>
        <v>8.4779206910252557E+17</v>
      </c>
      <c r="CD6" s="4">
        <f t="shared" si="1"/>
        <v>8.4791426736054938E+17</v>
      </c>
      <c r="CE6" s="4">
        <f t="shared" si="1"/>
        <v>8.4802858943102438E+17</v>
      </c>
      <c r="CF6" s="4">
        <f t="shared" si="1"/>
        <v>8.4813491056145856E+17</v>
      </c>
      <c r="CG6" s="4">
        <f t="shared" si="1"/>
        <v>8.482331563148535E+17</v>
      </c>
      <c r="CH6" s="4">
        <f t="shared" si="1"/>
        <v>8.4832330270154509E+17</v>
      </c>
      <c r="CI6" s="4">
        <f t="shared" si="1"/>
        <v>8.4840537024840794E+17</v>
      </c>
      <c r="CJ6" s="4">
        <f t="shared" si="1"/>
        <v>8.4847940964154739E+17</v>
      </c>
      <c r="CK6" s="4">
        <f t="shared" si="1"/>
        <v>8.4854548776008205E+17</v>
      </c>
      <c r="CL6" s="4">
        <f t="shared" si="1"/>
        <v>8.4860367323696243E+17</v>
      </c>
      <c r="CM6" s="4">
        <f t="shared" si="1"/>
        <v>8.4865402702900173E+17</v>
      </c>
      <c r="CN6" s="4">
        <f t="shared" si="1"/>
        <v>8.4869659577422438E+17</v>
      </c>
      <c r="CO6" s="4">
        <f t="shared" si="1"/>
        <v>8.4873141014719219E+17</v>
      </c>
      <c r="CP6" s="4">
        <f t="shared" si="1"/>
        <v>8.4875848581780326E+17</v>
      </c>
      <c r="CQ6" s="4">
        <f t="shared" si="1"/>
        <v>8.4877782782650522E+17</v>
      </c>
      <c r="CR6" s="4">
        <f t="shared" si="1"/>
        <v>8.4878943477877504E+17</v>
      </c>
      <c r="CS6" s="4">
        <f t="shared" si="1"/>
        <v>8.487933042080704E+17</v>
      </c>
      <c r="DN6" s="12"/>
      <c r="DO6" s="12"/>
      <c r="DP6" s="12"/>
      <c r="DQ6" s="12"/>
      <c r="DR6" s="12"/>
      <c r="DS6" s="12"/>
      <c r="DT6" s="12"/>
      <c r="DU6" s="12"/>
      <c r="DV6" s="12"/>
      <c r="DW6" s="12"/>
      <c r="DX6" s="12"/>
      <c r="DY6" s="12"/>
      <c r="DZ6" s="12"/>
      <c r="EA6" s="12"/>
      <c r="EB6" s="12"/>
      <c r="EC6" s="12"/>
      <c r="ED6" s="12"/>
      <c r="EE6" s="12"/>
      <c r="EF6" s="12"/>
      <c r="EG6" s="12"/>
      <c r="EH6" s="12"/>
      <c r="EI6" s="12"/>
    </row>
    <row r="7" spans="1:139" ht="15" customHeight="1">
      <c r="A7" s="21">
        <v>0.37746896667971969</v>
      </c>
      <c r="B7" s="17">
        <v>0.15232235386423687</v>
      </c>
      <c r="C7" s="17">
        <v>5.7496961515356097E-2</v>
      </c>
      <c r="D7" s="22">
        <v>450</v>
      </c>
      <c r="E7" s="31">
        <v>92.102265894818402</v>
      </c>
      <c r="F7" s="31">
        <v>99.885114225337887</v>
      </c>
      <c r="H7" s="23">
        <v>0</v>
      </c>
      <c r="I7" s="23">
        <v>1.8750000000000003E-2</v>
      </c>
      <c r="J7" s="19">
        <v>7400157613728360</v>
      </c>
      <c r="K7" s="13" t="s">
        <v>91</v>
      </c>
      <c r="M7" s="131">
        <v>1.5000000000000003E-2</v>
      </c>
      <c r="N7" s="18">
        <v>7403100145815232</v>
      </c>
      <c r="O7" s="18">
        <v>7403241173954128</v>
      </c>
      <c r="P7" s="18">
        <v>7403651579201400</v>
      </c>
      <c r="Q7" s="18">
        <v>7404297164398008</v>
      </c>
      <c r="R7" s="18">
        <v>7405131518918248</v>
      </c>
      <c r="S7" s="18">
        <v>7406105871551256</v>
      </c>
      <c r="T7" s="18">
        <v>7407175980257656</v>
      </c>
      <c r="U7" s="18">
        <v>7408305257869496</v>
      </c>
      <c r="V7" s="18">
        <v>7409465210357560</v>
      </c>
      <c r="W7" s="18">
        <v>7410634519955768</v>
      </c>
      <c r="X7" s="18">
        <v>7411797722301632</v>
      </c>
      <c r="Y7" s="18">
        <v>7412943913269096</v>
      </c>
      <c r="Z7" s="18">
        <v>7414065648254168</v>
      </c>
      <c r="AA7" s="18">
        <v>7415158039673752</v>
      </c>
      <c r="AB7" s="18">
        <v>7416218035371632</v>
      </c>
      <c r="AC7" s="18">
        <v>7417243838420464</v>
      </c>
      <c r="AD7" s="18">
        <v>7418234451581776</v>
      </c>
      <c r="AE7" s="18">
        <v>7419189322586472</v>
      </c>
      <c r="AF7" s="18">
        <v>7420108083682800</v>
      </c>
      <c r="AG7" s="18">
        <v>7420990370246864</v>
      </c>
      <c r="AH7" s="18">
        <v>7421835712650968</v>
      </c>
      <c r="AI7" s="18">
        <v>7422643486858152</v>
      </c>
      <c r="AJ7" s="18">
        <v>7423412915944016</v>
      </c>
      <c r="AK7" s="18">
        <v>7424143107185392</v>
      </c>
      <c r="AL7" s="18">
        <v>7424833117708808</v>
      </c>
      <c r="AM7" s="18">
        <v>7425482034369000</v>
      </c>
      <c r="AN7" s="18">
        <v>7426089061695848</v>
      </c>
      <c r="AO7" s="18">
        <v>7426653595637872</v>
      </c>
      <c r="AP7" s="18">
        <v>7427175274731064</v>
      </c>
      <c r="AQ7" s="18">
        <v>7427653984527792</v>
      </c>
      <c r="AR7" s="18">
        <v>7428089828077928</v>
      </c>
      <c r="AS7" s="18">
        <v>7428483060026768</v>
      </c>
      <c r="AT7" s="18">
        <v>7428834017058560</v>
      </c>
      <c r="AU7" s="18">
        <v>7429143048808168</v>
      </c>
      <c r="AV7" s="18">
        <v>7429410469116688</v>
      </c>
      <c r="AW7" s="18">
        <v>7429636523406576</v>
      </c>
      <c r="AX7" s="18">
        <v>7429821378312416</v>
      </c>
      <c r="AY7" s="18">
        <v>7429965126195456</v>
      </c>
      <c r="AZ7" s="18">
        <v>7430067804322904</v>
      </c>
      <c r="BA7" s="18">
        <v>7430129416003544</v>
      </c>
      <c r="BB7" s="18">
        <v>7430149954661392</v>
      </c>
      <c r="BE7" s="4">
        <f t="shared" si="2"/>
        <v>8.429709409365353E+17</v>
      </c>
      <c r="BF7" s="4">
        <f t="shared" si="2"/>
        <v>8.4299742509206336E+17</v>
      </c>
      <c r="BG7" s="4">
        <f t="shared" si="1"/>
        <v>8.4307449875401152E+17</v>
      </c>
      <c r="BH7" s="4">
        <f t="shared" si="1"/>
        <v>8.4319574576383693E+17</v>
      </c>
      <c r="BI7" s="4">
        <f t="shared" si="1"/>
        <v>8.4335245776939405E+17</v>
      </c>
      <c r="BJ7" s="4">
        <f t="shared" si="1"/>
        <v>8.4353548241228685E+17</v>
      </c>
      <c r="BK7" s="4">
        <f t="shared" si="1"/>
        <v>8.4373651594311757E+17</v>
      </c>
      <c r="BL7" s="4">
        <f t="shared" si="1"/>
        <v>8.4394868990690227E+17</v>
      </c>
      <c r="BM7" s="4">
        <f t="shared" si="1"/>
        <v>8.4416665372587738E+17</v>
      </c>
      <c r="BN7" s="4">
        <f t="shared" si="1"/>
        <v>8.4438640301358707E+17</v>
      </c>
      <c r="BO7" s="4">
        <f t="shared" si="1"/>
        <v>8.4460503165336128E+17</v>
      </c>
      <c r="BP7" s="4">
        <f t="shared" si="1"/>
        <v>8.4482048936702362E+17</v>
      </c>
      <c r="BQ7" s="4">
        <f t="shared" si="1"/>
        <v>8.450313753183625E+17</v>
      </c>
      <c r="BR7" s="4">
        <f t="shared" si="1"/>
        <v>8.4523676883749952E+17</v>
      </c>
      <c r="BS7" s="4">
        <f t="shared" si="1"/>
        <v>8.4543609403368192E+17</v>
      </c>
      <c r="BT7" s="4">
        <f t="shared" si="1"/>
        <v>8.4562901089331354E+17</v>
      </c>
      <c r="BU7" s="4">
        <f t="shared" si="1"/>
        <v>8.4581532974008166E+17</v>
      </c>
      <c r="BV7" s="4">
        <f t="shared" si="1"/>
        <v>8.4599494459623578E+17</v>
      </c>
      <c r="BW7" s="4">
        <f t="shared" si="1"/>
        <v>8.4616778423121203E+17</v>
      </c>
      <c r="BX7" s="4">
        <f t="shared" si="1"/>
        <v>8.4633377805355546E+17</v>
      </c>
      <c r="BY7" s="4">
        <f t="shared" si="1"/>
        <v>8.464928357671273E+17</v>
      </c>
      <c r="BZ7" s="4">
        <f t="shared" si="1"/>
        <v>8.4664483806806963E+17</v>
      </c>
      <c r="CA7" s="4">
        <f t="shared" si="1"/>
        <v>8.4678963692282611E+17</v>
      </c>
      <c r="CB7" s="4">
        <f t="shared" si="1"/>
        <v>8.4692706254225421E+17</v>
      </c>
      <c r="CC7" s="4">
        <f t="shared" si="1"/>
        <v>8.4705693573640538E+17</v>
      </c>
      <c r="CD7" s="4">
        <f t="shared" si="1"/>
        <v>8.4717908295460109E+17</v>
      </c>
      <c r="CE7" s="4">
        <f t="shared" si="1"/>
        <v>8.4729335285099968E+17</v>
      </c>
      <c r="CF7" s="4">
        <f t="shared" si="1"/>
        <v>8.473996301819296E+17</v>
      </c>
      <c r="CG7" s="4">
        <f t="shared" si="1"/>
        <v>8.4749784545627187E+17</v>
      </c>
      <c r="CH7" s="4">
        <f t="shared" si="1"/>
        <v>8.4758797578609114E+17</v>
      </c>
      <c r="CI7" s="4">
        <f t="shared" si="1"/>
        <v>8.4767003934234189E+17</v>
      </c>
      <c r="CJ7" s="4">
        <f t="shared" si="1"/>
        <v>8.4774408295509197E+17</v>
      </c>
      <c r="CK7" s="4">
        <f t="shared" si="1"/>
        <v>8.4781016902005389E+17</v>
      </c>
      <c r="CL7" s="4">
        <f t="shared" si="1"/>
        <v>8.4786836248878451E+17</v>
      </c>
      <c r="CM7" s="4">
        <f t="shared" si="1"/>
        <v>8.4791872168678106E+17</v>
      </c>
      <c r="CN7" s="4">
        <f t="shared" si="1"/>
        <v>8.4796129216577702E+17</v>
      </c>
      <c r="CO7" s="4">
        <f t="shared" si="1"/>
        <v>8.4799610474708838E+17</v>
      </c>
      <c r="CP7" s="4">
        <f t="shared" si="1"/>
        <v>8.4802317636867469E+17</v>
      </c>
      <c r="CQ7" s="4">
        <f t="shared" si="1"/>
        <v>8.4804251369505728E+17</v>
      </c>
      <c r="CR7" s="4">
        <f t="shared" si="1"/>
        <v>8.4805411709673062E+17</v>
      </c>
      <c r="CS7" s="4">
        <f t="shared" si="1"/>
        <v>8.4805798518363264E+17</v>
      </c>
      <c r="DN7" s="12"/>
      <c r="DO7" s="12"/>
      <c r="DP7" s="12"/>
      <c r="DQ7" s="12"/>
      <c r="DR7" s="12"/>
      <c r="DS7" s="12"/>
      <c r="DT7" s="12"/>
      <c r="DU7" s="12"/>
      <c r="DV7" s="12"/>
      <c r="DW7" s="12"/>
      <c r="DX7" s="12"/>
      <c r="DY7" s="12"/>
      <c r="DZ7" s="12"/>
      <c r="EA7" s="12"/>
      <c r="EB7" s="12"/>
      <c r="EC7" s="12"/>
      <c r="ED7" s="12"/>
      <c r="EE7" s="12"/>
      <c r="EF7" s="12"/>
      <c r="EG7" s="12"/>
      <c r="EH7" s="12"/>
      <c r="EI7" s="12"/>
    </row>
    <row r="8" spans="1:139" ht="15" customHeight="1">
      <c r="A8" s="21">
        <v>0.46278850513722763</v>
      </c>
      <c r="B8" s="17">
        <v>0.15184209675532376</v>
      </c>
      <c r="C8" s="17">
        <v>7.0270776974298566E-2</v>
      </c>
      <c r="D8" s="22">
        <v>500</v>
      </c>
      <c r="E8" s="31">
        <v>93.981903974304487</v>
      </c>
      <c r="F8" s="31">
        <v>99.885114225337887</v>
      </c>
      <c r="H8" s="23">
        <v>0</v>
      </c>
      <c r="I8" s="23">
        <v>2.2500000000000003E-2</v>
      </c>
      <c r="J8" s="19">
        <v>7397198990260392</v>
      </c>
      <c r="K8" s="116">
        <v>7281053519145112</v>
      </c>
      <c r="M8" s="131">
        <v>1.8750000000000003E-2</v>
      </c>
      <c r="N8" s="18">
        <v>7400157613728360</v>
      </c>
      <c r="O8" s="18">
        <v>7400307060000104</v>
      </c>
      <c r="P8" s="18">
        <v>7400740917212840</v>
      </c>
      <c r="Q8" s="18">
        <v>7401420422636760</v>
      </c>
      <c r="R8" s="18">
        <v>7402293688088192</v>
      </c>
      <c r="S8" s="18">
        <v>7403307238043112</v>
      </c>
      <c r="T8" s="18">
        <v>7404413689907848</v>
      </c>
      <c r="U8" s="18">
        <v>7405574868704376</v>
      </c>
      <c r="V8" s="18">
        <v>7406761832077424</v>
      </c>
      <c r="W8" s="18">
        <v>7407953492482352</v>
      </c>
      <c r="X8" s="18">
        <v>7409134933936560</v>
      </c>
      <c r="Y8" s="18">
        <v>7410295893501688</v>
      </c>
      <c r="Z8" s="18">
        <v>7411429537635456</v>
      </c>
      <c r="AA8" s="18">
        <v>7412531508084704</v>
      </c>
      <c r="AB8" s="18">
        <v>7413599186170768</v>
      </c>
      <c r="AC8" s="18">
        <v>7414631120537784</v>
      </c>
      <c r="AD8" s="18">
        <v>7415626586160952</v>
      </c>
      <c r="AE8" s="18">
        <v>7416585247540048</v>
      </c>
      <c r="AF8" s="18">
        <v>7417506913293672</v>
      </c>
      <c r="AG8" s="18">
        <v>7418391367940264</v>
      </c>
      <c r="AH8" s="18">
        <v>7419238272474456</v>
      </c>
      <c r="AI8" s="18">
        <v>7420047121368800</v>
      </c>
      <c r="AJ8" s="18">
        <v>7420817246809304</v>
      </c>
      <c r="AK8" s="18">
        <v>7421547857309448</v>
      </c>
      <c r="AL8" s="18">
        <v>7422238102123704</v>
      </c>
      <c r="AM8" s="18">
        <v>7422887149458568</v>
      </c>
      <c r="AN8" s="18">
        <v>7423494269905768</v>
      </c>
      <c r="AO8" s="18">
        <v>7424058907293424</v>
      </c>
      <c r="AP8" s="18">
        <v>7424580726211704</v>
      </c>
      <c r="AQ8" s="18">
        <v>7425059619014680</v>
      </c>
      <c r="AR8" s="18">
        <v>7425495679196728</v>
      </c>
      <c r="AS8" s="18">
        <v>7425889143736712</v>
      </c>
      <c r="AT8" s="18">
        <v>7426240328664752</v>
      </c>
      <c r="AU8" s="18">
        <v>7426549566102488</v>
      </c>
      <c r="AV8" s="18">
        <v>7426817157527736</v>
      </c>
      <c r="AW8" s="18">
        <v>7427043343045544</v>
      </c>
      <c r="AX8" s="18">
        <v>7427228290071624</v>
      </c>
      <c r="AY8" s="18">
        <v>7427372096853776</v>
      </c>
      <c r="AZ8" s="18">
        <v>7427474808556336</v>
      </c>
      <c r="BA8" s="18">
        <v>7427536436743800</v>
      </c>
      <c r="BB8" s="18">
        <v>7427556980184824</v>
      </c>
      <c r="BE8" s="4">
        <f t="shared" si="2"/>
        <v>8.4217641449746765E+17</v>
      </c>
      <c r="BF8" s="4">
        <f t="shared" si="2"/>
        <v>8.4220446269244262E+17</v>
      </c>
      <c r="BG8" s="4">
        <f t="shared" si="1"/>
        <v>8.4228589188505523E+17</v>
      </c>
      <c r="BH8" s="4">
        <f t="shared" si="1"/>
        <v>8.4241343351177715E+17</v>
      </c>
      <c r="BI8" s="4">
        <f t="shared" si="1"/>
        <v>8.4257735699260378E+17</v>
      </c>
      <c r="BJ8" s="4">
        <f t="shared" si="1"/>
        <v>8.427676328219415E+17</v>
      </c>
      <c r="BK8" s="4">
        <f t="shared" si="1"/>
        <v>8.4297537273534912E+17</v>
      </c>
      <c r="BL8" s="4">
        <f t="shared" si="1"/>
        <v>8.4319341409295488E+17</v>
      </c>
      <c r="BM8" s="4">
        <f t="shared" si="1"/>
        <v>8.4341632499540019E+17</v>
      </c>
      <c r="BN8" s="4">
        <f t="shared" si="1"/>
        <v>8.4364014629348301E+17</v>
      </c>
      <c r="BO8" s="4">
        <f t="shared" si="1"/>
        <v>8.4386207622553331E+17</v>
      </c>
      <c r="BP8" s="4">
        <f t="shared" si="1"/>
        <v>8.4408018584886502E+17</v>
      </c>
      <c r="BQ8" s="4">
        <f t="shared" si="1"/>
        <v>8.4429318968641318E+17</v>
      </c>
      <c r="BR8" s="4">
        <f t="shared" si="1"/>
        <v>8.4450026685260416E+17</v>
      </c>
      <c r="BS8" s="4">
        <f t="shared" si="1"/>
        <v>8.4470092308221389E+17</v>
      </c>
      <c r="BT8" s="4">
        <f t="shared" si="1"/>
        <v>8.448948833733568E+17</v>
      </c>
      <c r="BU8" s="4">
        <f t="shared" si="1"/>
        <v>8.4508200922065946E+17</v>
      </c>
      <c r="BV8" s="4">
        <f t="shared" si="1"/>
        <v>8.4526223537318246E+17</v>
      </c>
      <c r="BW8" s="4">
        <f t="shared" si="1"/>
        <v>8.4543552373298368E+17</v>
      </c>
      <c r="BX8" s="4">
        <f t="shared" si="1"/>
        <v>8.4560183173785677E+17</v>
      </c>
      <c r="BY8" s="4">
        <f t="shared" si="1"/>
        <v>8.4576109366307238E+17</v>
      </c>
      <c r="BZ8" s="4">
        <f t="shared" si="1"/>
        <v>8.4591321252604723E+17</v>
      </c>
      <c r="CA8" s="4">
        <f t="shared" si="1"/>
        <v>8.4605806087275802E+17</v>
      </c>
      <c r="CB8" s="4">
        <f t="shared" si="1"/>
        <v>8.4619548803330918E+17</v>
      </c>
      <c r="CC8" s="4">
        <f t="shared" si="1"/>
        <v>8.4632533223609818E+17</v>
      </c>
      <c r="CD8" s="4">
        <f t="shared" si="1"/>
        <v>8.4644743532436634E+17</v>
      </c>
      <c r="CE8" s="4">
        <f t="shared" si="1"/>
        <v>8.4656165846183731E+17</v>
      </c>
      <c r="CF8" s="4">
        <f t="shared" si="1"/>
        <v>8.4666789547650138E+17</v>
      </c>
      <c r="CG8" s="4">
        <f t="shared" si="1"/>
        <v>8.4676608181854912E+17</v>
      </c>
      <c r="CH8" s="4">
        <f t="shared" si="1"/>
        <v>8.4685619589324851E+17</v>
      </c>
      <c r="CI8" s="4">
        <f t="shared" si="1"/>
        <v>8.4693825406356006E+17</v>
      </c>
      <c r="CJ8" s="4">
        <f t="shared" si="1"/>
        <v>8.4701229980853222E+17</v>
      </c>
      <c r="CK8" s="4">
        <f t="shared" si="1"/>
        <v>8.4707839160119091E+17</v>
      </c>
      <c r="CL8" s="4">
        <f t="shared" si="1"/>
        <v>8.4713659105955418E+17</v>
      </c>
      <c r="CM8" s="4">
        <f t="shared" si="1"/>
        <v>8.47186954148272E+17</v>
      </c>
      <c r="CN8" s="4">
        <f t="shared" si="1"/>
        <v>8.472295253914825E+17</v>
      </c>
      <c r="CO8" s="4">
        <f t="shared" si="1"/>
        <v>8.4726433573917734E+17</v>
      </c>
      <c r="CP8" s="4">
        <f t="shared" si="1"/>
        <v>8.4729140322698982E+17</v>
      </c>
      <c r="CQ8" s="4">
        <f t="shared" si="1"/>
        <v>8.4731073600160102E+17</v>
      </c>
      <c r="CR8" s="4">
        <f t="shared" si="1"/>
        <v>8.4732233598692826E+17</v>
      </c>
      <c r="CS8" s="4">
        <f t="shared" si="1"/>
        <v>8.4732620279954752E+17</v>
      </c>
      <c r="DN8" s="12"/>
      <c r="DO8" s="12"/>
      <c r="DP8" s="12"/>
      <c r="DQ8" s="12"/>
      <c r="DR8" s="12"/>
      <c r="DS8" s="12"/>
      <c r="DT8" s="12"/>
      <c r="DU8" s="12"/>
      <c r="DV8" s="12"/>
      <c r="DW8" s="12"/>
      <c r="DX8" s="12"/>
      <c r="DY8" s="12"/>
      <c r="DZ8" s="12"/>
      <c r="EA8" s="12"/>
      <c r="EB8" s="12"/>
      <c r="EC8" s="12"/>
      <c r="ED8" s="12"/>
      <c r="EE8" s="12"/>
      <c r="EF8" s="12"/>
      <c r="EG8" s="12"/>
      <c r="EH8" s="12"/>
      <c r="EI8" s="12"/>
    </row>
    <row r="9" spans="1:139" ht="15" customHeight="1">
      <c r="A9" s="21">
        <v>0.52406651805930082</v>
      </c>
      <c r="B9" s="17">
        <v>0.14778716384591514</v>
      </c>
      <c r="C9" s="17">
        <v>7.7450304370588141E-2</v>
      </c>
      <c r="D9" s="22">
        <v>550</v>
      </c>
      <c r="E9" s="31">
        <v>93.981903974304501</v>
      </c>
      <c r="F9" s="31">
        <v>99.885114225337887</v>
      </c>
      <c r="H9" s="23">
        <v>0</v>
      </c>
      <c r="I9" s="23">
        <v>2.6250000000000002E-2</v>
      </c>
      <c r="J9" s="19">
        <v>7394268807295592</v>
      </c>
      <c r="K9" s="1" t="s">
        <v>92</v>
      </c>
      <c r="M9" s="131">
        <v>2.2500000000000003E-2</v>
      </c>
      <c r="N9" s="18">
        <v>7397198990260392</v>
      </c>
      <c r="O9" s="18">
        <v>7397357453197840</v>
      </c>
      <c r="P9" s="18">
        <v>7397816359168968</v>
      </c>
      <c r="Q9" s="18">
        <v>7398531908744376</v>
      </c>
      <c r="R9" s="18">
        <v>7399446258781488</v>
      </c>
      <c r="S9" s="18">
        <v>7400500919801768</v>
      </c>
      <c r="T9" s="18">
        <v>7401645249912168</v>
      </c>
      <c r="U9" s="18">
        <v>7402839491036936</v>
      </c>
      <c r="V9" s="18">
        <v>7404054311319256</v>
      </c>
      <c r="W9" s="18">
        <v>7405268922046512</v>
      </c>
      <c r="X9" s="18">
        <v>7406469016771736</v>
      </c>
      <c r="Y9" s="18">
        <v>7407645022462672</v>
      </c>
      <c r="Z9" s="18">
        <v>7408790754692936</v>
      </c>
      <c r="AA9" s="18">
        <v>7409902413722768</v>
      </c>
      <c r="AB9" s="18">
        <v>7410977837209376</v>
      </c>
      <c r="AC9" s="18">
        <v>7412015936878792</v>
      </c>
      <c r="AD9" s="18">
        <v>7413016273414536</v>
      </c>
      <c r="AE9" s="18">
        <v>7413978737823776</v>
      </c>
      <c r="AF9" s="18">
        <v>7414903321846112</v>
      </c>
      <c r="AG9" s="18">
        <v>7415789963049384</v>
      </c>
      <c r="AH9" s="18">
        <v>7416638454781040</v>
      </c>
      <c r="AI9" s="18">
        <v>7417448409778888</v>
      </c>
      <c r="AJ9" s="18">
        <v>7418219267805800</v>
      </c>
      <c r="AK9" s="18">
        <v>7418950335957584</v>
      </c>
      <c r="AL9" s="18">
        <v>7419640852506800</v>
      </c>
      <c r="AM9" s="18">
        <v>7420290063560600</v>
      </c>
      <c r="AN9" s="18">
        <v>7420897302959600</v>
      </c>
      <c r="AO9" s="18">
        <v>7421462060377192</v>
      </c>
      <c r="AP9" s="18">
        <v>7421984026277288</v>
      </c>
      <c r="AQ9" s="18">
        <v>7422463100811480</v>
      </c>
      <c r="AR9" s="18">
        <v>7422899370390256</v>
      </c>
      <c r="AS9" s="18">
        <v>7423293056860528</v>
      </c>
      <c r="AT9" s="18">
        <v>7423644458230912</v>
      </c>
      <c r="AU9" s="18">
        <v>7423953890921728</v>
      </c>
      <c r="AV9" s="18">
        <v>7424221645336984</v>
      </c>
      <c r="AW9" s="18">
        <v>7424447956658032</v>
      </c>
      <c r="AX9" s="18">
        <v>7424632992978096</v>
      </c>
      <c r="AY9" s="18">
        <v>7424776857711432</v>
      </c>
      <c r="AZ9" s="18">
        <v>7424879603185392</v>
      </c>
      <c r="BA9" s="18">
        <v>7424941248299208</v>
      </c>
      <c r="BB9" s="18">
        <v>7424961796752888</v>
      </c>
      <c r="BE9" s="4">
        <f t="shared" si="2"/>
        <v>8.4137942963419942E+17</v>
      </c>
      <c r="BF9" s="4">
        <f t="shared" si="2"/>
        <v>8.414091521961079E+17</v>
      </c>
      <c r="BG9" s="4">
        <f t="shared" si="1"/>
        <v>8.414952310572137E+17</v>
      </c>
      <c r="BH9" s="4">
        <f t="shared" si="1"/>
        <v>8.4162945799083725E+17</v>
      </c>
      <c r="BI9" s="4">
        <f t="shared" si="1"/>
        <v>8.4180099193950694E+17</v>
      </c>
      <c r="BJ9" s="4">
        <f t="shared" si="1"/>
        <v>8.4199886924203994E+17</v>
      </c>
      <c r="BK9" s="4">
        <f t="shared" si="1"/>
        <v>8.4221359552561638E+17</v>
      </c>
      <c r="BL9" s="4">
        <f t="shared" si="1"/>
        <v>8.4243771516637683E+17</v>
      </c>
      <c r="BM9" s="4">
        <f t="shared" si="1"/>
        <v>8.4266572604271322E+17</v>
      </c>
      <c r="BN9" s="4">
        <f t="shared" si="1"/>
        <v>8.4289372703627917E+17</v>
      </c>
      <c r="BO9" s="4">
        <f t="shared" si="1"/>
        <v>8.4311903207497293E+17</v>
      </c>
      <c r="BP9" s="4">
        <f t="shared" si="1"/>
        <v>8.4333984254025178E+17</v>
      </c>
      <c r="BQ9" s="4">
        <f t="shared" si="1"/>
        <v>8.4355499531438336E+17</v>
      </c>
      <c r="BR9" s="4">
        <f t="shared" si="1"/>
        <v>8.4376377465360051E+17</v>
      </c>
      <c r="BS9" s="4">
        <f t="shared" si="1"/>
        <v>8.4396577211236442E+17</v>
      </c>
      <c r="BT9" s="4">
        <f t="shared" si="1"/>
        <v>8.4416078091184602E+17</v>
      </c>
      <c r="BU9" s="4">
        <f t="shared" si="1"/>
        <v>8.4434871619228851E+17</v>
      </c>
      <c r="BV9" s="4">
        <f t="shared" si="1"/>
        <v>8.4452955521180659E+17</v>
      </c>
      <c r="BW9" s="4">
        <f t="shared" si="1"/>
        <v>8.4470329423546829E+17</v>
      </c>
      <c r="BX9" s="4">
        <f t="shared" si="1"/>
        <v>8.4486991943274253E+17</v>
      </c>
      <c r="BY9" s="4">
        <f t="shared" si="1"/>
        <v>8.4502938994794125E+17</v>
      </c>
      <c r="BZ9" s="4">
        <f t="shared" si="1"/>
        <v>8.4518163104892621E+17</v>
      </c>
      <c r="CA9" s="4">
        <f t="shared" si="1"/>
        <v>8.4532653555000166E+17</v>
      </c>
      <c r="CB9" s="4">
        <f t="shared" ref="CB9:CB43" si="3">+(AK9*($BI$1+$BK$1+AK9))*EXP(-$BM$1*$M10*0.1)*$BO$1</f>
        <v>8.4546397138018227E+17</v>
      </c>
      <c r="CC9" s="4">
        <f t="shared" ref="CC9:CC43" si="4">+(AL9*($BI$1+$BK$1+AL9))*EXP(-$BM$1*$M10*0.1)*$BO$1</f>
        <v>8.4559379358199936E+17</v>
      </c>
      <c r="CD9" s="4">
        <f t="shared" ref="CD9:CD43" si="5">+(AM9*($BI$1+$BK$1+AM9))*EXP(-$BM$1*$M10*0.1)*$BO$1</f>
        <v>8.4571585872635213E+17</v>
      </c>
      <c r="CE9" s="4">
        <f t="shared" ref="CE9:CE43" si="6">+(AN9*($BI$1+$BK$1+AN9))*EXP(-$BM$1*$M10*0.1)*$BO$1</f>
        <v>8.4583003994333811E+17</v>
      </c>
      <c r="CF9" s="4">
        <f t="shared" ref="CF9:CF43" si="7">+(AO9*($BI$1+$BK$1+AO9))*EXP(-$BM$1*$M10*0.1)*$BO$1</f>
        <v>8.4593623973958477E+17</v>
      </c>
      <c r="CG9" s="4">
        <f t="shared" ref="CG9:CG43" si="8">+(AP9*($BI$1+$BK$1+AP9))*EXP(-$BM$1*$M10*0.1)*$BO$1</f>
        <v>8.4603439846678643E+17</v>
      </c>
      <c r="CH9" s="4">
        <f t="shared" ref="CH9:CH43" si="9">+(AQ9*($BI$1+$BK$1+AQ9))*EXP(-$BM$1*$M10*0.1)*$BO$1</f>
        <v>8.4612449600894387E+17</v>
      </c>
      <c r="CI9" s="4">
        <f t="shared" ref="CI9:CI43" si="10">+(AR9*($BI$1+$BK$1+AR9))*EXP(-$BM$1*$M10*0.1)*$BO$1</f>
        <v>8.4620654738766848E+17</v>
      </c>
      <c r="CJ9" s="4">
        <f t="shared" ref="CJ9:CJ43" si="11">+(AS9*($BI$1+$BK$1+AS9))*EXP(-$BM$1*$M10*0.1)*$BO$1</f>
        <v>8.4628059321129766E+17</v>
      </c>
      <c r="CK9" s="4">
        <f t="shared" ref="CK9:CK43" si="12">+(AT9*($BI$1+$BK$1+AT9))*EXP(-$BM$1*$M10*0.1)*$BO$1</f>
        <v>8.4634668852967219E+17</v>
      </c>
      <c r="CL9" s="4">
        <f t="shared" ref="CL9:CL43" si="13">+(AU9*($BI$1+$BK$1+AU9))*EXP(-$BM$1*$M10*0.1)*$BO$1</f>
        <v>8.464048919718135E+17</v>
      </c>
      <c r="CM9" s="4">
        <f t="shared" ref="CM9:CM43" si="14">+(AV9*($BI$1+$BK$1+AV9))*EXP(-$BM$1*$M10*0.1)*$BO$1</f>
        <v>8.4645525738674534E+17</v>
      </c>
      <c r="CN9" s="4">
        <f t="shared" ref="CN9:CN43" si="15">+(AW9*($BI$1+$BK$1+AW9))*EXP(-$BM$1*$M10*0.1)*$BO$1</f>
        <v>8.4649782834625395E+17</v>
      </c>
      <c r="CO9" s="4">
        <f t="shared" ref="CO9:CO43" si="16">+(AX9*($BI$1+$BK$1+AX9))*EXP(-$BM$1*$M10*0.1)*$BO$1</f>
        <v>8.4653263590940045E+17</v>
      </c>
      <c r="CP9" s="4">
        <f t="shared" ref="CP9:CP43" si="17">+(AY9*($BI$1+$BK$1+AY9))*EXP(-$BM$1*$M10*0.1)*$BO$1</f>
        <v>8.4655969907281933E+17</v>
      </c>
      <c r="CQ9" s="4">
        <f t="shared" ref="CQ9:CQ43" si="18">+(AZ9*($BI$1+$BK$1+AZ9))*EXP(-$BM$1*$M10*0.1)*$BO$1</f>
        <v>8.4657902732559654E+17</v>
      </c>
      <c r="CR9" s="4">
        <f t="shared" ref="CR9:CR43" si="19">+(BA9*($BI$1+$BK$1+BA9))*EXP(-$BM$1*$M10*0.1)*$BO$1</f>
        <v>8.4659062397007693E+17</v>
      </c>
      <c r="CS9" s="4">
        <f t="shared" ref="CS9:CS43" si="20">+(BB9*($BI$1+$BK$1+BB9))*EXP(-$BM$1*$M10*0.1)*$BO$1</f>
        <v>8.4659448955059533E+17</v>
      </c>
      <c r="DN9" s="12"/>
      <c r="DO9" s="12"/>
      <c r="DP9" s="12"/>
      <c r="DQ9" s="12"/>
      <c r="DR9" s="12"/>
      <c r="DS9" s="12"/>
      <c r="DT9" s="12"/>
      <c r="DU9" s="12"/>
      <c r="DV9" s="12"/>
      <c r="DW9" s="12"/>
      <c r="DX9" s="12"/>
      <c r="DY9" s="12"/>
      <c r="DZ9" s="12"/>
      <c r="EA9" s="12"/>
      <c r="EB9" s="12"/>
      <c r="EC9" s="12"/>
      <c r="ED9" s="12"/>
      <c r="EE9" s="12"/>
      <c r="EF9" s="12"/>
      <c r="EG9" s="12"/>
      <c r="EH9" s="12"/>
      <c r="EI9" s="12"/>
    </row>
    <row r="10" spans="1:139" ht="15" customHeight="1">
      <c r="A10" s="21">
        <v>0.60052582024275458</v>
      </c>
      <c r="B10" s="17"/>
      <c r="C10" s="17"/>
      <c r="D10" s="22">
        <v>600</v>
      </c>
      <c r="E10" s="31">
        <v>93.974669869109036</v>
      </c>
      <c r="F10" s="31">
        <v>99.877425730072204</v>
      </c>
      <c r="H10" s="23">
        <v>0</v>
      </c>
      <c r="I10" s="23">
        <v>3.0000000000000006E-2</v>
      </c>
      <c r="J10" s="19">
        <v>7391336484682584</v>
      </c>
      <c r="K10" s="116">
        <v>7437236706459168</v>
      </c>
      <c r="M10" s="131">
        <v>2.6250000000000002E-2</v>
      </c>
      <c r="N10" s="18">
        <v>7394268807295592</v>
      </c>
      <c r="O10" s="18">
        <v>7394436969331344</v>
      </c>
      <c r="P10" s="18">
        <v>7394922730497288</v>
      </c>
      <c r="Q10" s="18">
        <v>7395676693297592</v>
      </c>
      <c r="R10" s="18">
        <v>7396634504840368</v>
      </c>
      <c r="S10" s="18">
        <v>7397732320486864</v>
      </c>
      <c r="T10" s="18">
        <v>7398916125253664</v>
      </c>
      <c r="U10" s="18">
        <v>7400144603421464</v>
      </c>
      <c r="V10" s="18">
        <v>7401388113084192</v>
      </c>
      <c r="W10" s="18">
        <v>7402626248176152</v>
      </c>
      <c r="X10" s="18">
        <v>7403845381968880</v>
      </c>
      <c r="Y10" s="18">
        <v>7405036684818280</v>
      </c>
      <c r="Z10" s="18">
        <v>7406194661319248</v>
      </c>
      <c r="AA10" s="18">
        <v>7407316099870496</v>
      </c>
      <c r="AB10" s="18">
        <v>7408399316896280</v>
      </c>
      <c r="AC10" s="18">
        <v>7409443604095120</v>
      </c>
      <c r="AD10" s="18">
        <v>7410448820589256</v>
      </c>
      <c r="AE10" s="18">
        <v>7411415093021432</v>
      </c>
      <c r="AF10" s="18">
        <v>7412342602449056</v>
      </c>
      <c r="AG10" s="18">
        <v>7413231443043776</v>
      </c>
      <c r="AH10" s="18">
        <v>7414081541955224</v>
      </c>
      <c r="AI10" s="18">
        <v>7414892629829968</v>
      </c>
      <c r="AJ10" s="18">
        <v>7415664252388040</v>
      </c>
      <c r="AK10" s="18">
        <v>7416395812701656</v>
      </c>
      <c r="AL10" s="18">
        <v>7417086634989288</v>
      </c>
      <c r="AM10" s="18">
        <v>7417736039985048</v>
      </c>
      <c r="AN10" s="18">
        <v>7418343422045944</v>
      </c>
      <c r="AO10" s="18">
        <v>7418908314807880</v>
      </c>
      <c r="AP10" s="18">
        <v>7419430434306856</v>
      </c>
      <c r="AQ10" s="18">
        <v>7419909689403760</v>
      </c>
      <c r="AR10" s="18">
        <v>7420346161568632</v>
      </c>
      <c r="AS10" s="18">
        <v>7420740059883032</v>
      </c>
      <c r="AT10" s="18">
        <v>7421091666718472</v>
      </c>
      <c r="AU10" s="18">
        <v>7421401284546208</v>
      </c>
      <c r="AV10" s="18">
        <v>7421669193897352</v>
      </c>
      <c r="AW10" s="18">
        <v>7421895625471992</v>
      </c>
      <c r="AX10" s="18">
        <v>7422080747957528</v>
      </c>
      <c r="AY10" s="18">
        <v>7422224669343432</v>
      </c>
      <c r="AZ10" s="18">
        <v>7422327448430608</v>
      </c>
      <c r="BA10" s="18">
        <v>7422389110669632</v>
      </c>
      <c r="BB10" s="18">
        <v>7422409664272344</v>
      </c>
      <c r="BE10" s="4">
        <f t="shared" si="2"/>
        <v>8.4058833915110426E+17</v>
      </c>
      <c r="BF10" s="4">
        <f t="shared" si="2"/>
        <v>8.4061986207455808E+17</v>
      </c>
      <c r="BG10" s="4">
        <f t="shared" ref="BG10:BG43" si="21">+(P10*($BI$1+$BK$1+P10))*EXP(-$BM$1*$M11*0.1)*$BO$1</f>
        <v>8.4071092391811533E+17</v>
      </c>
      <c r="BH10" s="4">
        <f t="shared" ref="BH10:BH43" si="22">+(Q10*($BI$1+$BK$1+Q10))*EXP(-$BM$1*$M11*0.1)*$BO$1</f>
        <v>8.4085227274835379E+17</v>
      </c>
      <c r="BI10" s="4">
        <f t="shared" ref="BI10:BI43" si="23">+(R10*($BI$1+$BK$1+R10))*EXP(-$BM$1*$M11*0.1)*$BO$1</f>
        <v>8.4103185438603341E+17</v>
      </c>
      <c r="BJ10" s="4">
        <f t="shared" ref="BJ10:BJ43" si="24">+(S10*($BI$1+$BK$1+S10))*EXP(-$BM$1*$M11*0.1)*$BO$1</f>
        <v>8.4123770813508774E+17</v>
      </c>
      <c r="BK10" s="4">
        <f t="shared" ref="BK10:BK43" si="25">+(T10*($BI$1+$BK$1+T10))*EXP(-$BM$1*$M11*0.1)*$BO$1</f>
        <v>8.4145971283506918E+17</v>
      </c>
      <c r="BL10" s="4">
        <f t="shared" ref="BL10:BL43" si="26">+(U10*($BI$1+$BK$1+U10))*EXP(-$BM$1*$M11*0.1)*$BO$1</f>
        <v>8.4169012492284134E+17</v>
      </c>
      <c r="BM10" s="4">
        <f t="shared" ref="BM10:BM43" si="27">+(V10*($BI$1+$BK$1+V10))*EXP(-$BM$1*$M11*0.1)*$BO$1</f>
        <v>8.4192338697099904E+17</v>
      </c>
      <c r="BN10" s="4">
        <f t="shared" ref="BN10:BN43" si="28">+(W10*($BI$1+$BK$1+W10))*EXP(-$BM$1*$M11*0.1)*$BO$1</f>
        <v>8.4215567149326208E+17</v>
      </c>
      <c r="BO10" s="4">
        <f t="shared" ref="BO10:BO43" si="29">+(X10*($BI$1+$BK$1+X10))*EXP(-$BM$1*$M11*0.1)*$BO$1</f>
        <v>8.4238442110111552E+17</v>
      </c>
      <c r="BP10" s="4">
        <f t="shared" ref="BP10:BP43" si="30">+(Y10*($BI$1+$BK$1+Y10))*EXP(-$BM$1*$M11*0.1)*$BO$1</f>
        <v>8.4260797735805555E+17</v>
      </c>
      <c r="BQ10" s="4">
        <f t="shared" ref="BQ10:BQ43" si="31">+(Z10*($BI$1+$BK$1+Z10))*EXP(-$BM$1*$M11*0.1)*$BO$1</f>
        <v>8.428253068357975E+17</v>
      </c>
      <c r="BR10" s="4">
        <f t="shared" ref="BR10:BR43" si="32">+(AA10*($BI$1+$BK$1+AA10))*EXP(-$BM$1*$M11*0.1)*$BO$1</f>
        <v>8.4303580436054464E+17</v>
      </c>
      <c r="BS10" s="4">
        <f t="shared" ref="BS10:BS43" si="33">+(AB10*($BI$1+$BK$1+AB10))*EXP(-$BM$1*$M11*0.1)*$BO$1</f>
        <v>8.4323915141174797E+17</v>
      </c>
      <c r="BT10" s="4">
        <f t="shared" ref="BT10:BT43" si="34">+(AC10*($BI$1+$BK$1+AC10))*EXP(-$BM$1*$M11*0.1)*$BO$1</f>
        <v>8.4343521252257613E+17</v>
      </c>
      <c r="BU10" s="4">
        <f t="shared" ref="BU10:BU43" si="35">+(AD10*($BI$1+$BK$1+AD10))*EXP(-$BM$1*$M11*0.1)*$BO$1</f>
        <v>8.4362395880581555E+17</v>
      </c>
      <c r="BV10" s="4">
        <f t="shared" ref="BV10:BV43" si="36">+(AE10*($BI$1+$BK$1+AE10))*EXP(-$BM$1*$M11*0.1)*$BO$1</f>
        <v>8.4380541169342042E+17</v>
      </c>
      <c r="BW10" s="4">
        <f t="shared" ref="BW10:BW43" si="37">+(AF10*($BI$1+$BK$1+AF10))*EXP(-$BM$1*$M11*0.1)*$BO$1</f>
        <v>8.4397960293796762E+17</v>
      </c>
      <c r="BX10" s="4">
        <f t="shared" ref="BX10:BX43" si="38">+(AG10*($BI$1+$BK$1+AG10))*EXP(-$BM$1*$M11*0.1)*$BO$1</f>
        <v>8.4414654807570957E+17</v>
      </c>
      <c r="BY10" s="4">
        <f t="shared" ref="BY10:BY43" si="39">+(AH10*($BI$1+$BK$1+AH10))*EXP(-$BM$1*$M11*0.1)*$BO$1</f>
        <v>8.4430623136426381E+17</v>
      </c>
      <c r="BZ10" s="4">
        <f t="shared" ref="BZ10:BZ43" si="40">+(AI10*($BI$1+$BK$1+AI10))*EXP(-$BM$1*$M11*0.1)*$BO$1</f>
        <v>8.4445860022989376E+17</v>
      </c>
      <c r="CA10" s="4">
        <f t="shared" ref="CA10:CA43" si="41">+(AJ10*($BI$1+$BK$1+AJ10))*EXP(-$BM$1*$M11*0.1)*$BO$1</f>
        <v>8.4460356742794586E+17</v>
      </c>
      <c r="CB10" s="4">
        <f t="shared" si="3"/>
        <v>8.4474101897543104E+17</v>
      </c>
      <c r="CC10" s="4">
        <f t="shared" si="4"/>
        <v>8.4487082613228557E+17</v>
      </c>
      <c r="CD10" s="4">
        <f t="shared" si="5"/>
        <v>8.449928595646519E+17</v>
      </c>
      <c r="CE10" s="4">
        <f t="shared" si="6"/>
        <v>8.4510700384130982E+17</v>
      </c>
      <c r="CF10" s="4">
        <f t="shared" si="7"/>
        <v>8.4521316978324122E+17</v>
      </c>
      <c r="CG10" s="4">
        <f t="shared" si="8"/>
        <v>8.4531130258088691E+17</v>
      </c>
      <c r="CH10" s="4">
        <f t="shared" si="9"/>
        <v>8.4540138376633971E+17</v>
      </c>
      <c r="CI10" s="4">
        <f t="shared" si="10"/>
        <v>8.454834274241257E+17</v>
      </c>
      <c r="CJ10" s="4">
        <f t="shared" si="11"/>
        <v>8.4555747174001101E+17</v>
      </c>
      <c r="CK10" s="4">
        <f t="shared" si="12"/>
        <v>8.4562356879291315E+17</v>
      </c>
      <c r="CL10" s="4">
        <f t="shared" si="13"/>
        <v>8.4568177455587776E+17</v>
      </c>
      <c r="CM10" s="4">
        <f t="shared" si="14"/>
        <v>8.457321409907136E+17</v>
      </c>
      <c r="CN10" s="4">
        <f t="shared" si="15"/>
        <v>8.4577471080133926E+17</v>
      </c>
      <c r="CO10" s="4">
        <f t="shared" si="16"/>
        <v>8.4580951514027354E+17</v>
      </c>
      <c r="CP10" s="4">
        <f t="shared" si="17"/>
        <v>8.4583657385303078E+17</v>
      </c>
      <c r="CQ10" s="4">
        <f t="shared" si="18"/>
        <v>8.4585589764002931E+17</v>
      </c>
      <c r="CR10" s="4">
        <f t="shared" si="19"/>
        <v>8.4586749103323034E+17</v>
      </c>
      <c r="CS10" s="4">
        <f t="shared" si="20"/>
        <v>8.4587135542481421E+17</v>
      </c>
      <c r="DN10" s="12"/>
      <c r="DO10" s="12"/>
      <c r="DP10" s="12"/>
      <c r="DQ10" s="12"/>
      <c r="DR10" s="12"/>
      <c r="DS10" s="12"/>
      <c r="DT10" s="12"/>
      <c r="DU10" s="12"/>
      <c r="DV10" s="12"/>
      <c r="DW10" s="12"/>
      <c r="DX10" s="12"/>
      <c r="DY10" s="12"/>
      <c r="DZ10" s="12"/>
      <c r="EA10" s="12"/>
      <c r="EB10" s="12"/>
      <c r="EC10" s="12"/>
      <c r="ED10" s="12"/>
      <c r="EE10" s="12"/>
      <c r="EF10" s="12"/>
      <c r="EG10" s="12"/>
      <c r="EH10" s="12"/>
      <c r="EI10" s="12"/>
    </row>
    <row r="11" spans="1:139" ht="15" customHeight="1">
      <c r="A11" s="21">
        <v>0.63884743786420928</v>
      </c>
      <c r="B11" s="17"/>
      <c r="C11" s="17"/>
      <c r="D11" s="22">
        <v>650</v>
      </c>
      <c r="E11" s="31">
        <v>93.956212082645095</v>
      </c>
      <c r="F11" s="31">
        <v>99.857808569413251</v>
      </c>
      <c r="H11" s="23">
        <v>0</v>
      </c>
      <c r="I11" s="23">
        <v>3.3750000000000002E-2</v>
      </c>
      <c r="J11" s="19">
        <v>7388423380262904</v>
      </c>
      <c r="K11" s="1" t="s">
        <v>93</v>
      </c>
      <c r="M11" s="131">
        <v>3.0000000000000006E-2</v>
      </c>
      <c r="N11" s="18">
        <v>7391336484682584</v>
      </c>
      <c r="O11" s="18">
        <v>7391515122587240</v>
      </c>
      <c r="P11" s="18">
        <v>7392029779056176</v>
      </c>
      <c r="Q11" s="18">
        <v>7392824792617776</v>
      </c>
      <c r="R11" s="18">
        <v>7393828660008320</v>
      </c>
      <c r="S11" s="18">
        <v>7394971808441544</v>
      </c>
      <c r="T11" s="18">
        <v>7396196744950152</v>
      </c>
      <c r="U11" s="18">
        <v>7397460645813496</v>
      </c>
      <c r="V11" s="18">
        <v>7398733661124680</v>
      </c>
      <c r="W11" s="18">
        <v>7399995867097608</v>
      </c>
      <c r="X11" s="18">
        <v>7401234396038552</v>
      </c>
      <c r="Y11" s="18">
        <v>7402441219763216</v>
      </c>
      <c r="Z11" s="18">
        <v>7403611573522224</v>
      </c>
      <c r="AA11" s="18">
        <v>7404742863774016</v>
      </c>
      <c r="AB11" s="18">
        <v>7405833907663528</v>
      </c>
      <c r="AC11" s="18">
        <v>7406884393060320</v>
      </c>
      <c r="AD11" s="18">
        <v>7407894489483720</v>
      </c>
      <c r="AE11" s="18">
        <v>7408864567692144</v>
      </c>
      <c r="AF11" s="18">
        <v>7409795003700496</v>
      </c>
      <c r="AG11" s="18">
        <v>7410686051455776</v>
      </c>
      <c r="AH11" s="18">
        <v>7411537773073648</v>
      </c>
      <c r="AI11" s="18">
        <v>7412350016608176</v>
      </c>
      <c r="AJ11" s="18">
        <v>7413122432028064</v>
      </c>
      <c r="AK11" s="18">
        <v>7413854515790248</v>
      </c>
      <c r="AL11" s="18">
        <v>7414545675024640</v>
      </c>
      <c r="AM11" s="18">
        <v>7415195301949832</v>
      </c>
      <c r="AN11" s="18">
        <v>7415802848789968</v>
      </c>
      <c r="AO11" s="18">
        <v>7416367891361064</v>
      </c>
      <c r="AP11" s="18">
        <v>7416890170883464</v>
      </c>
      <c r="AQ11" s="18">
        <v>7417369605733928</v>
      </c>
      <c r="AR11" s="18">
        <v>7417806274320984</v>
      </c>
      <c r="AS11" s="18">
        <v>7418200375149576</v>
      </c>
      <c r="AT11" s="18">
        <v>7418552177133768</v>
      </c>
      <c r="AU11" s="18">
        <v>7418861970472304</v>
      </c>
      <c r="AV11" s="18">
        <v>7419130026957152</v>
      </c>
      <c r="AW11" s="18">
        <v>7419356573276528</v>
      </c>
      <c r="AX11" s="18">
        <v>7419541778659936</v>
      </c>
      <c r="AY11" s="18">
        <v>7419685755180856</v>
      </c>
      <c r="AZ11" s="18">
        <v>7419788567480952</v>
      </c>
      <c r="BA11" s="18">
        <v>7419850246883256</v>
      </c>
      <c r="BB11" s="18">
        <v>7419870805705640</v>
      </c>
      <c r="BE11" s="4">
        <f t="shared" si="2"/>
        <v>8.3979740421350054E+17</v>
      </c>
      <c r="BF11" s="4">
        <f t="shared" si="2"/>
        <v>8.3983087084618995E+17</v>
      </c>
      <c r="BG11" s="4">
        <f t="shared" si="21"/>
        <v>8.3992729189853632E+17</v>
      </c>
      <c r="BH11" s="4">
        <f t="shared" si="22"/>
        <v>8.4007624832609075E+17</v>
      </c>
      <c r="BI11" s="4">
        <f t="shared" si="23"/>
        <v>8.4026435432457165E+17</v>
      </c>
      <c r="BJ11" s="4">
        <f t="shared" si="24"/>
        <v>8.4047858346910925E+17</v>
      </c>
      <c r="BK11" s="4">
        <f t="shared" si="25"/>
        <v>8.4070816885539968E+17</v>
      </c>
      <c r="BL11" s="4">
        <f t="shared" si="26"/>
        <v>8.4094508856390938E+17</v>
      </c>
      <c r="BM11" s="4">
        <f t="shared" si="27"/>
        <v>8.4118374899834419E+17</v>
      </c>
      <c r="BN11" s="4">
        <f t="shared" si="28"/>
        <v>8.4142041485311718E+17</v>
      </c>
      <c r="BO11" s="4">
        <f t="shared" si="29"/>
        <v>8.4165267211480269E+17</v>
      </c>
      <c r="BP11" s="4">
        <f t="shared" si="30"/>
        <v>8.418790132363593E+17</v>
      </c>
      <c r="BQ11" s="4">
        <f t="shared" si="31"/>
        <v>8.4209854212513485E+17</v>
      </c>
      <c r="BR11" s="4">
        <f t="shared" si="32"/>
        <v>8.4231076965483008E+17</v>
      </c>
      <c r="BS11" s="4">
        <f t="shared" si="33"/>
        <v>8.4251547124068506E+17</v>
      </c>
      <c r="BT11" s="4">
        <f t="shared" si="34"/>
        <v>8.4271258568303885E+17</v>
      </c>
      <c r="BU11" s="4">
        <f t="shared" si="35"/>
        <v>8.4290214224614656E+17</v>
      </c>
      <c r="BV11" s="4">
        <f t="shared" si="36"/>
        <v>8.430842080766432E+17</v>
      </c>
      <c r="BW11" s="4">
        <f t="shared" si="37"/>
        <v>8.4325885143299174E+17</v>
      </c>
      <c r="BX11" s="4">
        <f t="shared" si="38"/>
        <v>8.4342611778069926E+17</v>
      </c>
      <c r="BY11" s="4">
        <f t="shared" si="39"/>
        <v>8.4358601668127603E+17</v>
      </c>
      <c r="BZ11" s="4">
        <f t="shared" si="40"/>
        <v>8.4373851760072627E+17</v>
      </c>
      <c r="CA11" s="4">
        <f t="shared" si="41"/>
        <v>8.4388355289251712E+17</v>
      </c>
      <c r="CB11" s="4">
        <f t="shared" si="3"/>
        <v>8.4402102615481894E+17</v>
      </c>
      <c r="CC11" s="4">
        <f t="shared" si="4"/>
        <v>8.4415082427690227E+17</v>
      </c>
      <c r="CD11" s="4">
        <f t="shared" si="5"/>
        <v>8.4427283141400154E+17</v>
      </c>
      <c r="CE11" s="4">
        <f t="shared" si="6"/>
        <v>8.4438694306289869E+17</v>
      </c>
      <c r="CF11" s="4">
        <f t="shared" si="7"/>
        <v>8.4449307801449216E+17</v>
      </c>
      <c r="CG11" s="4">
        <f t="shared" si="8"/>
        <v>8.4459118621938573E+17</v>
      </c>
      <c r="CH11" s="4">
        <f t="shared" si="9"/>
        <v>8.4468125100716595E+17</v>
      </c>
      <c r="CI11" s="4">
        <f t="shared" si="10"/>
        <v>8.4476328587912486E+17</v>
      </c>
      <c r="CJ11" s="4">
        <f t="shared" si="11"/>
        <v>8.4483732701228979E+17</v>
      </c>
      <c r="CK11" s="4">
        <f t="shared" si="12"/>
        <v>8.4490342392749197E+17</v>
      </c>
      <c r="CL11" s="4">
        <f t="shared" si="13"/>
        <v>8.4496163025983514E+17</v>
      </c>
      <c r="CM11" s="4">
        <f t="shared" si="14"/>
        <v>8.450119962991337E+17</v>
      </c>
      <c r="CN11" s="4">
        <f t="shared" si="15"/>
        <v>8.4505456397069658E+17</v>
      </c>
      <c r="CO11" s="4">
        <f t="shared" si="16"/>
        <v>8.4508936451068902E+17</v>
      </c>
      <c r="CP11" s="4">
        <f t="shared" si="17"/>
        <v>8.4511641852031027E+17</v>
      </c>
      <c r="CQ11" s="4">
        <f t="shared" si="18"/>
        <v>8.4513573779108378E+17</v>
      </c>
      <c r="CR11" s="4">
        <f t="shared" si="19"/>
        <v>8.4514732795565837E+17</v>
      </c>
      <c r="CS11" s="4">
        <f t="shared" si="20"/>
        <v>8.4515119117686541E+17</v>
      </c>
      <c r="DN11" s="12"/>
      <c r="DO11" s="12"/>
      <c r="DP11" s="12"/>
      <c r="DQ11" s="12"/>
      <c r="DR11" s="12"/>
      <c r="DS11" s="12"/>
      <c r="DT11" s="12"/>
      <c r="DU11" s="12"/>
      <c r="DV11" s="12"/>
      <c r="DW11" s="12"/>
      <c r="DX11" s="12"/>
      <c r="DY11" s="12"/>
      <c r="DZ11" s="12"/>
      <c r="EA11" s="12"/>
      <c r="EB11" s="12"/>
      <c r="EC11" s="12"/>
      <c r="ED11" s="12"/>
      <c r="EE11" s="12"/>
      <c r="EF11" s="12"/>
      <c r="EG11" s="12"/>
      <c r="EH11" s="12"/>
      <c r="EI11" s="12"/>
    </row>
    <row r="12" spans="1:139" ht="15" customHeight="1">
      <c r="A12" s="21">
        <v>0.65920023071410305</v>
      </c>
      <c r="B12" s="17">
        <v>6.0238365927632542E-2</v>
      </c>
      <c r="C12" s="17">
        <v>3.9709144717335935E-2</v>
      </c>
      <c r="D12" s="22">
        <v>700</v>
      </c>
      <c r="E12" s="31">
        <v>93.9075769834716</v>
      </c>
      <c r="F12" s="31">
        <v>99.806118592610588</v>
      </c>
      <c r="H12" s="23">
        <v>0</v>
      </c>
      <c r="I12" s="23">
        <v>3.7500000000000006E-2</v>
      </c>
      <c r="J12" s="19">
        <v>7385511193348280</v>
      </c>
      <c r="K12" s="116">
        <v>7281053519145112</v>
      </c>
      <c r="M12" s="131">
        <v>3.3750000000000002E-2</v>
      </c>
      <c r="N12" s="18">
        <v>7388423380262904</v>
      </c>
      <c r="O12" s="18">
        <v>7388613377466168</v>
      </c>
      <c r="P12" s="18">
        <v>7389159231124248</v>
      </c>
      <c r="Q12" s="18">
        <v>7389998227715656</v>
      </c>
      <c r="R12" s="18">
        <v>7391050977262424</v>
      </c>
      <c r="S12" s="18">
        <v>7392241774597280</v>
      </c>
      <c r="T12" s="18">
        <v>7393509557820328</v>
      </c>
      <c r="U12" s="18">
        <v>7394810073216952</v>
      </c>
      <c r="V12" s="18">
        <v>7396113389694520</v>
      </c>
      <c r="W12" s="18">
        <v>7397400181837224</v>
      </c>
      <c r="X12" s="18">
        <v>7398658429456048</v>
      </c>
      <c r="Y12" s="18">
        <v>7399880968273928</v>
      </c>
      <c r="Z12" s="18">
        <v>7401063807385080</v>
      </c>
      <c r="AA12" s="18">
        <v>7402205001366464</v>
      </c>
      <c r="AB12" s="18">
        <v>7403303889484840</v>
      </c>
      <c r="AC12" s="18">
        <v>7404360571220160</v>
      </c>
      <c r="AD12" s="18">
        <v>7405375537654432</v>
      </c>
      <c r="AE12" s="18">
        <v>7406349411460768</v>
      </c>
      <c r="AF12" s="18">
        <v>7407282768687896</v>
      </c>
      <c r="AG12" s="18">
        <v>7408176025822216</v>
      </c>
      <c r="AH12" s="18">
        <v>7409029380816640</v>
      </c>
      <c r="AI12" s="18">
        <v>7409842798463136</v>
      </c>
      <c r="AJ12" s="18">
        <v>7410616031176504</v>
      </c>
      <c r="AK12" s="18">
        <v>7411348666198152</v>
      </c>
      <c r="AL12" s="18">
        <v>7412040190569520</v>
      </c>
      <c r="AM12" s="18">
        <v>7412690064949592</v>
      </c>
      <c r="AN12" s="18">
        <v>7413297796859088</v>
      </c>
      <c r="AO12" s="18">
        <v>7413863002580960</v>
      </c>
      <c r="AP12" s="18">
        <v>7414385448065576</v>
      </c>
      <c r="AQ12" s="18">
        <v>7414865061899920</v>
      </c>
      <c r="AR12" s="18">
        <v>7415301921088144</v>
      </c>
      <c r="AS12" s="18">
        <v>7415696215570448</v>
      </c>
      <c r="AT12" s="18">
        <v>7416048202809232</v>
      </c>
      <c r="AU12" s="18">
        <v>7416358162321064</v>
      </c>
      <c r="AV12" s="18">
        <v>7416626358238472</v>
      </c>
      <c r="AW12" s="18">
        <v>7416853013720824</v>
      </c>
      <c r="AX12" s="18">
        <v>7417038298523776</v>
      </c>
      <c r="AY12" s="18">
        <v>7417182328392664</v>
      </c>
      <c r="AZ12" s="18">
        <v>7417285173240440</v>
      </c>
      <c r="BA12" s="18">
        <v>7417346869665168</v>
      </c>
      <c r="BB12" s="18">
        <v>7417367433710440</v>
      </c>
      <c r="BE12" s="4">
        <f t="shared" si="2"/>
        <v>8.3901062405637158E+17</v>
      </c>
      <c r="BF12" s="4">
        <f t="shared" si="2"/>
        <v>8.390461975358976E+17</v>
      </c>
      <c r="BG12" s="4">
        <f t="shared" si="21"/>
        <v>8.3914840259240589E+17</v>
      </c>
      <c r="BH12" s="4">
        <f t="shared" si="22"/>
        <v>8.393055070044727E+17</v>
      </c>
      <c r="BI12" s="4">
        <f t="shared" si="23"/>
        <v>8.3950265710169498E+17</v>
      </c>
      <c r="BJ12" s="4">
        <f t="shared" si="24"/>
        <v>8.397256862691904E+17</v>
      </c>
      <c r="BK12" s="4">
        <f t="shared" si="25"/>
        <v>8.3996316550982054E+17</v>
      </c>
      <c r="BL12" s="4">
        <f t="shared" si="26"/>
        <v>8.4020680939710272E+17</v>
      </c>
      <c r="BM12" s="4">
        <f t="shared" si="27"/>
        <v>8.404510118891712E+17</v>
      </c>
      <c r="BN12" s="4">
        <f t="shared" si="28"/>
        <v>8.406921514492375E+17</v>
      </c>
      <c r="BO12" s="4">
        <f t="shared" si="29"/>
        <v>8.4092797381383757E+17</v>
      </c>
      <c r="BP12" s="4">
        <f t="shared" si="30"/>
        <v>8.4115713383122893E+17</v>
      </c>
      <c r="BQ12" s="4">
        <f t="shared" si="31"/>
        <v>8.413788806673079E+17</v>
      </c>
      <c r="BR12" s="4">
        <f t="shared" si="32"/>
        <v>8.4159284673696128E+17</v>
      </c>
      <c r="BS12" s="4">
        <f t="shared" si="33"/>
        <v>8.4179890529189299E+17</v>
      </c>
      <c r="BT12" s="4">
        <f t="shared" si="34"/>
        <v>8.4199707220796083E+17</v>
      </c>
      <c r="BU12" s="4">
        <f t="shared" si="35"/>
        <v>8.4218743692807578E+17</v>
      </c>
      <c r="BV12" s="4">
        <f t="shared" si="36"/>
        <v>8.423701137246464E+17</v>
      </c>
      <c r="BW12" s="4">
        <f t="shared" si="37"/>
        <v>8.4254520827350298E+17</v>
      </c>
      <c r="BX12" s="4">
        <f t="shared" si="38"/>
        <v>8.427127964548544E+17</v>
      </c>
      <c r="BY12" s="4">
        <f t="shared" si="39"/>
        <v>8.4287291326969574E+17</v>
      </c>
      <c r="BZ12" s="4">
        <f t="shared" si="40"/>
        <v>8.4302555007381888E+17</v>
      </c>
      <c r="CA12" s="4">
        <f t="shared" si="41"/>
        <v>8.4317065845879245E+17</v>
      </c>
      <c r="CB12" s="4">
        <f t="shared" si="3"/>
        <v>8.4330815909624909E+17</v>
      </c>
      <c r="CC12" s="4">
        <f t="shared" si="4"/>
        <v>8.4343795392403725E+17</v>
      </c>
      <c r="CD12" s="4">
        <f t="shared" si="5"/>
        <v>8.4355993999964122E+17</v>
      </c>
      <c r="CE12" s="4">
        <f t="shared" si="6"/>
        <v>8.4367402325263424E+17</v>
      </c>
      <c r="CF12" s="4">
        <f t="shared" si="7"/>
        <v>8.4378013011284454E+17</v>
      </c>
      <c r="CG12" s="4">
        <f t="shared" si="8"/>
        <v>8.438782152000247E+17</v>
      </c>
      <c r="CH12" s="4">
        <f t="shared" si="9"/>
        <v>8.4396826376933222E+17</v>
      </c>
      <c r="CI12" s="4">
        <f t="shared" si="10"/>
        <v>8.4405028905048525E+17</v>
      </c>
      <c r="CJ12" s="4">
        <f t="shared" si="11"/>
        <v>8.4412432559178714E+17</v>
      </c>
      <c r="CK12" s="4">
        <f t="shared" si="12"/>
        <v>8.4419042073559219E+17</v>
      </c>
      <c r="CL12" s="4">
        <f t="shared" si="13"/>
        <v>8.442486260804864E+17</v>
      </c>
      <c r="CM12" s="4">
        <f t="shared" si="14"/>
        <v>8.4429899044911142E+17</v>
      </c>
      <c r="CN12" s="4">
        <f t="shared" si="15"/>
        <v>8.443415550799305E+17</v>
      </c>
      <c r="CO12" s="4">
        <f t="shared" si="16"/>
        <v>8.4437635128981478E+17</v>
      </c>
      <c r="CP12" s="4">
        <f t="shared" si="17"/>
        <v>8.4440340035750989E+17</v>
      </c>
      <c r="CQ12" s="4">
        <f t="shared" si="18"/>
        <v>8.4442271505754432E+17</v>
      </c>
      <c r="CR12" s="4">
        <f t="shared" si="19"/>
        <v>8.444343020098615E+17</v>
      </c>
      <c r="CS12" s="4">
        <f t="shared" si="20"/>
        <v>8.4443816407567398E+17</v>
      </c>
      <c r="DN12" s="12"/>
      <c r="DO12" s="12"/>
      <c r="DP12" s="12"/>
      <c r="DQ12" s="12"/>
      <c r="DR12" s="12"/>
      <c r="DS12" s="12"/>
      <c r="DT12" s="12"/>
      <c r="DU12" s="12"/>
      <c r="DV12" s="12"/>
      <c r="DW12" s="12"/>
      <c r="DX12" s="12"/>
      <c r="DY12" s="12"/>
      <c r="DZ12" s="12"/>
      <c r="EA12" s="12"/>
      <c r="EB12" s="12"/>
      <c r="EC12" s="12"/>
      <c r="ED12" s="12"/>
      <c r="EE12" s="12"/>
      <c r="EF12" s="12"/>
      <c r="EG12" s="12"/>
      <c r="EH12" s="12"/>
      <c r="EI12" s="12"/>
    </row>
    <row r="13" spans="1:139" ht="15" customHeight="1">
      <c r="A13" s="21">
        <v>0.69930669423938463</v>
      </c>
      <c r="B13" s="17">
        <v>3.8849825080317091E-5</v>
      </c>
      <c r="C13" s="17">
        <v>2.7167942748694881E-5</v>
      </c>
      <c r="D13" s="22">
        <v>750</v>
      </c>
      <c r="E13" s="31">
        <v>92.876113046221235</v>
      </c>
      <c r="F13" s="31">
        <v>99.706935491390851</v>
      </c>
      <c r="H13" s="23">
        <v>0</v>
      </c>
      <c r="I13" s="23">
        <v>4.1250000000000009E-2</v>
      </c>
      <c r="J13" s="19">
        <v>7382612875686720</v>
      </c>
      <c r="K13" s="1" t="s">
        <v>94</v>
      </c>
      <c r="M13" s="131">
        <v>3.7500000000000006E-2</v>
      </c>
      <c r="N13" s="18">
        <v>7385511193348280</v>
      </c>
      <c r="O13" s="18">
        <v>7385713555073272</v>
      </c>
      <c r="P13" s="18">
        <v>7386293203233216</v>
      </c>
      <c r="Q13" s="18">
        <v>7387179440525488</v>
      </c>
      <c r="R13" s="18">
        <v>7388284146782352</v>
      </c>
      <c r="S13" s="18">
        <v>7389525050473664</v>
      </c>
      <c r="T13" s="18">
        <v>7390837450081616</v>
      </c>
      <c r="U13" s="18">
        <v>7392175773145480</v>
      </c>
      <c r="V13" s="18">
        <v>7393510161262920</v>
      </c>
      <c r="W13" s="18">
        <v>7394822020510920</v>
      </c>
      <c r="X13" s="18">
        <v>7396100275720696</v>
      </c>
      <c r="Y13" s="18">
        <v>7397338693047280</v>
      </c>
      <c r="Z13" s="18">
        <v>7398534099922488</v>
      </c>
      <c r="AA13" s="18">
        <v>7399685229055496</v>
      </c>
      <c r="AB13" s="18">
        <v>7400791962578808</v>
      </c>
      <c r="AC13" s="18">
        <v>7401854826194784</v>
      </c>
      <c r="AD13" s="18">
        <v>7402874642886328</v>
      </c>
      <c r="AE13" s="18">
        <v>7403852294332384</v>
      </c>
      <c r="AF13" s="18">
        <v>7404788561114104</v>
      </c>
      <c r="AG13" s="18">
        <v>7405684024593896</v>
      </c>
      <c r="AH13" s="18">
        <v>7406539019128864</v>
      </c>
      <c r="AI13" s="18">
        <v>7407353625392520</v>
      </c>
      <c r="AJ13" s="18">
        <v>7408127696335512</v>
      </c>
      <c r="AK13" s="18">
        <v>7408860907356336</v>
      </c>
      <c r="AL13" s="18">
        <v>7409552822429016</v>
      </c>
      <c r="AM13" s="18">
        <v>7410202967683808</v>
      </c>
      <c r="AN13" s="18">
        <v>7410810903432472</v>
      </c>
      <c r="AO13" s="18">
        <v>7411376284757576</v>
      </c>
      <c r="AP13" s="18">
        <v>7411898901830704</v>
      </c>
      <c r="AQ13" s="18">
        <v>7412378694031712</v>
      </c>
      <c r="AR13" s="18">
        <v>7412815738427512</v>
      </c>
      <c r="AS13" s="18">
        <v>7413210218239384</v>
      </c>
      <c r="AT13" s="18">
        <v>7413562381329464</v>
      </c>
      <c r="AU13" s="18">
        <v>7413872498038824</v>
      </c>
      <c r="AV13" s="18">
        <v>7414140825872256</v>
      </c>
      <c r="AW13" s="18">
        <v>7414367584950608</v>
      </c>
      <c r="AX13" s="18">
        <v>7414552945573576</v>
      </c>
      <c r="AY13" s="18">
        <v>7414697026813224</v>
      </c>
      <c r="AZ13" s="18">
        <v>7414799903344040</v>
      </c>
      <c r="BA13" s="18">
        <v>7414861616510432</v>
      </c>
      <c r="BB13" s="18">
        <v>7414882185729432</v>
      </c>
      <c r="BE13" s="4">
        <f t="shared" si="2"/>
        <v>8.3822456753735552E+17</v>
      </c>
      <c r="BF13" s="4">
        <f t="shared" si="2"/>
        <v>8.3826243343638502E+17</v>
      </c>
      <c r="BG13" s="4">
        <f t="shared" si="21"/>
        <v>8.3837090164147622E+17</v>
      </c>
      <c r="BH13" s="4">
        <f t="shared" si="22"/>
        <v>8.3853675410439373E+17</v>
      </c>
      <c r="BI13" s="4">
        <f t="shared" si="23"/>
        <v>8.387435132709943E+17</v>
      </c>
      <c r="BJ13" s="4">
        <f t="shared" si="24"/>
        <v>8.3897579245326618E+17</v>
      </c>
      <c r="BK13" s="4">
        <f t="shared" si="25"/>
        <v>8.3922148803848717E+17</v>
      </c>
      <c r="BL13" s="4">
        <f t="shared" si="26"/>
        <v>8.3947207214195162E+17</v>
      </c>
      <c r="BM13" s="4">
        <f t="shared" si="27"/>
        <v>8.397219550281504E+17</v>
      </c>
      <c r="BN13" s="4">
        <f t="shared" si="28"/>
        <v>8.3996765367312717E+17</v>
      </c>
      <c r="BO13" s="4">
        <f t="shared" si="29"/>
        <v>8.402070916080905E+17</v>
      </c>
      <c r="BP13" s="4">
        <f t="shared" si="30"/>
        <v>8.4043909832988698E+17</v>
      </c>
      <c r="BQ13" s="4">
        <f t="shared" si="31"/>
        <v>8.4066307641975219E+17</v>
      </c>
      <c r="BR13" s="4">
        <f t="shared" si="32"/>
        <v>8.4087878531165389E+17</v>
      </c>
      <c r="BS13" s="4">
        <f t="shared" si="33"/>
        <v>8.4108619986605798E+17</v>
      </c>
      <c r="BT13" s="4">
        <f t="shared" si="34"/>
        <v>8.4128541568380928E+17</v>
      </c>
      <c r="BU13" s="4">
        <f t="shared" si="35"/>
        <v>8.4147658425575155E+17</v>
      </c>
      <c r="BV13" s="4">
        <f t="shared" si="36"/>
        <v>8.4165986825645824E+17</v>
      </c>
      <c r="BW13" s="4">
        <f t="shared" si="37"/>
        <v>8.4183541158102131E+17</v>
      </c>
      <c r="BX13" s="4">
        <f t="shared" si="38"/>
        <v>8.4200332092904691E+17</v>
      </c>
      <c r="BY13" s="4">
        <f t="shared" si="39"/>
        <v>8.4216365681953523E+17</v>
      </c>
      <c r="BZ13" s="4">
        <f t="shared" si="40"/>
        <v>8.4231643231357875E+17</v>
      </c>
      <c r="CA13" s="4">
        <f t="shared" si="41"/>
        <v>8.4246161786151117E+17</v>
      </c>
      <c r="CB13" s="4">
        <f t="shared" si="3"/>
        <v>8.425991506967959E+17</v>
      </c>
      <c r="CC13" s="4">
        <f t="shared" si="4"/>
        <v>8.4272894723032986E+17</v>
      </c>
      <c r="CD13" s="4">
        <f t="shared" si="5"/>
        <v>8.4285091685036122E+17</v>
      </c>
      <c r="CE13" s="4">
        <f t="shared" si="6"/>
        <v>8.4296497543734771E+17</v>
      </c>
      <c r="CF13" s="4">
        <f t="shared" si="7"/>
        <v>8.4307105673843507E+17</v>
      </c>
      <c r="CG13" s="4">
        <f t="shared" si="8"/>
        <v>8.431691199415799E+17</v>
      </c>
      <c r="CH13" s="4">
        <f t="shared" si="9"/>
        <v>8.432591523344713E+17</v>
      </c>
      <c r="CI13" s="4">
        <f t="shared" si="10"/>
        <v>8.433411671507255E+17</v>
      </c>
      <c r="CJ13" s="4">
        <f t="shared" si="11"/>
        <v>8.4341519765807066E+17</v>
      </c>
      <c r="CK13" s="4">
        <f t="shared" si="12"/>
        <v>8.4348128937028096E+17</v>
      </c>
      <c r="CL13" s="4">
        <f t="shared" si="13"/>
        <v>8.4353949213453478E+17</v>
      </c>
      <c r="CM13" s="4">
        <f t="shared" si="14"/>
        <v>8.435898535016663E+17</v>
      </c>
      <c r="CN13" s="4">
        <f t="shared" si="15"/>
        <v>8.436324141161879E+17</v>
      </c>
      <c r="CO13" s="4">
        <f t="shared" si="16"/>
        <v>8.4366720537903526E+17</v>
      </c>
      <c r="CP13" s="4">
        <f t="shared" si="17"/>
        <v>8.4369424918103616E+17</v>
      </c>
      <c r="CQ13" s="4">
        <f t="shared" si="18"/>
        <v>8.4371355918299546E+17</v>
      </c>
      <c r="CR13" s="4">
        <f t="shared" si="19"/>
        <v>8.4372514289184576E+17</v>
      </c>
      <c r="CS13" s="4">
        <f t="shared" si="20"/>
        <v>8.4372900380029197E+17</v>
      </c>
      <c r="DN13" s="12"/>
      <c r="DO13" s="12"/>
      <c r="DP13" s="12"/>
      <c r="DQ13" s="12"/>
      <c r="DR13" s="12"/>
      <c r="DS13" s="12"/>
      <c r="DT13" s="12"/>
      <c r="DU13" s="12"/>
      <c r="DV13" s="12"/>
      <c r="DW13" s="12"/>
      <c r="DX13" s="12"/>
      <c r="DY13" s="12"/>
      <c r="DZ13" s="12"/>
      <c r="EA13" s="12"/>
      <c r="EB13" s="12"/>
      <c r="EC13" s="12"/>
      <c r="ED13" s="12"/>
      <c r="EE13" s="12"/>
      <c r="EF13" s="12"/>
      <c r="EG13" s="12"/>
      <c r="EH13" s="12"/>
      <c r="EI13" s="12"/>
    </row>
    <row r="14" spans="1:139" ht="15" customHeight="1">
      <c r="A14" s="21"/>
      <c r="B14" s="17"/>
      <c r="C14" s="17"/>
      <c r="D14" s="22">
        <v>800</v>
      </c>
      <c r="E14" s="31">
        <v>92.668505200568845</v>
      </c>
      <c r="F14" s="31">
        <v>99.484071497669518</v>
      </c>
      <c r="H14" s="23">
        <v>0</v>
      </c>
      <c r="I14" s="23">
        <v>4.5000000000000005E-2</v>
      </c>
      <c r="J14" s="19">
        <v>7379715761101232</v>
      </c>
      <c r="K14" s="116">
        <v>7437236706459168</v>
      </c>
      <c r="M14" s="131">
        <v>4.1250000000000009E-2</v>
      </c>
      <c r="N14" s="18">
        <v>7382612875686720</v>
      </c>
      <c r="O14" s="18">
        <v>7382828746939400</v>
      </c>
      <c r="P14" s="18">
        <v>7383445121958864</v>
      </c>
      <c r="Q14" s="18">
        <v>7384382217779200</v>
      </c>
      <c r="R14" s="18">
        <v>7385542220437016</v>
      </c>
      <c r="S14" s="18">
        <v>7386835831172784</v>
      </c>
      <c r="T14" s="18">
        <v>7388194666335904</v>
      </c>
      <c r="U14" s="18">
        <v>7389571984848672</v>
      </c>
      <c r="V14" s="18">
        <v>7390938184365576</v>
      </c>
      <c r="W14" s="18">
        <v>7392275553103800</v>
      </c>
      <c r="X14" s="18">
        <v>7393574067251688</v>
      </c>
      <c r="Y14" s="18">
        <v>7394828493625152</v>
      </c>
      <c r="Z14" s="18">
        <v>7396036523495656</v>
      </c>
      <c r="AA14" s="18">
        <v>7397197597464072</v>
      </c>
      <c r="AB14" s="18">
        <v>7398312160498312</v>
      </c>
      <c r="AC14" s="18">
        <v>7399381178230264</v>
      </c>
      <c r="AD14" s="18">
        <v>7400405815020512</v>
      </c>
      <c r="AE14" s="18">
        <v>7401387217908240</v>
      </c>
      <c r="AF14" s="18">
        <v>7402326375913512</v>
      </c>
      <c r="AG14" s="18">
        <v>7403224037167368</v>
      </c>
      <c r="AH14" s="18">
        <v>7404080672681560</v>
      </c>
      <c r="AI14" s="18">
        <v>7404896477951080</v>
      </c>
      <c r="AJ14" s="18">
        <v>7405671404434992</v>
      </c>
      <c r="AK14" s="18">
        <v>7406405213018688</v>
      </c>
      <c r="AL14" s="18">
        <v>7407097541639600</v>
      </c>
      <c r="AM14" s="18">
        <v>7407747978983768</v>
      </c>
      <c r="AN14" s="18">
        <v>7408356135702872</v>
      </c>
      <c r="AO14" s="18">
        <v>7408921704042376</v>
      </c>
      <c r="AP14" s="18">
        <v>7409444497835192</v>
      </c>
      <c r="AQ14" s="18">
        <v>7409924467732440</v>
      </c>
      <c r="AR14" s="18">
        <v>7410361692164664</v>
      </c>
      <c r="AS14" s="18">
        <v>7410756349324288</v>
      </c>
      <c r="AT14" s="18">
        <v>7411108679188872</v>
      </c>
      <c r="AU14" s="18">
        <v>7411418944347128</v>
      </c>
      <c r="AV14" s="18">
        <v>7411687396664816</v>
      </c>
      <c r="AW14" s="18">
        <v>7411914253717208</v>
      </c>
      <c r="AX14" s="18">
        <v>7412099686397184</v>
      </c>
      <c r="AY14" s="18">
        <v>7412243816815696</v>
      </c>
      <c r="AZ14" s="18">
        <v>7412346723955992</v>
      </c>
      <c r="BA14" s="18">
        <v>7412408453438008</v>
      </c>
      <c r="BB14" s="18">
        <v>7412429027728400</v>
      </c>
      <c r="BE14" s="4">
        <f t="shared" si="2"/>
        <v>8.3744165610499558E+17</v>
      </c>
      <c r="BF14" s="4">
        <f t="shared" si="2"/>
        <v>8.3748202585867494E+17</v>
      </c>
      <c r="BG14" s="4">
        <f t="shared" si="21"/>
        <v>8.3759729832296307E+17</v>
      </c>
      <c r="BH14" s="4">
        <f t="shared" si="22"/>
        <v>8.3777256546240282E+17</v>
      </c>
      <c r="BI14" s="4">
        <f t="shared" si="23"/>
        <v>8.3798954761178701E+17</v>
      </c>
      <c r="BJ14" s="4">
        <f t="shared" si="24"/>
        <v>8.382315532037641E+17</v>
      </c>
      <c r="BK14" s="4">
        <f t="shared" si="25"/>
        <v>8.384857967433847E+17</v>
      </c>
      <c r="BL14" s="4">
        <f t="shared" si="26"/>
        <v>8.3874353614810368E+17</v>
      </c>
      <c r="BM14" s="4">
        <f t="shared" si="27"/>
        <v>8.3899923219357517E+17</v>
      </c>
      <c r="BN14" s="4">
        <f t="shared" si="28"/>
        <v>8.3924956834189658E+17</v>
      </c>
      <c r="BO14" s="4">
        <f t="shared" si="29"/>
        <v>8.3949266558052928E+17</v>
      </c>
      <c r="BP14" s="4">
        <f t="shared" si="30"/>
        <v>8.397275409797801E+17</v>
      </c>
      <c r="BQ14" s="4">
        <f t="shared" si="31"/>
        <v>8.3995375886819354E+17</v>
      </c>
      <c r="BR14" s="4">
        <f t="shared" si="32"/>
        <v>8.4017121112065408E+17</v>
      </c>
      <c r="BS14" s="4">
        <f t="shared" si="33"/>
        <v>8.4037997782830912E+17</v>
      </c>
      <c r="BT14" s="4">
        <f t="shared" si="34"/>
        <v>8.4058023679348864E+17</v>
      </c>
      <c r="BU14" s="4">
        <f t="shared" si="35"/>
        <v>8.4077220326062362E+17</v>
      </c>
      <c r="BV14" s="4">
        <f t="shared" si="36"/>
        <v>8.4095608944342848E+17</v>
      </c>
      <c r="BW14" s="4">
        <f t="shared" si="37"/>
        <v>8.4113207814646848E+17</v>
      </c>
      <c r="BX14" s="4">
        <f t="shared" si="38"/>
        <v>8.413003072100256E+17</v>
      </c>
      <c r="BY14" s="4">
        <f t="shared" si="39"/>
        <v>8.4146086269050125E+17</v>
      </c>
      <c r="BZ14" s="4">
        <f t="shared" si="40"/>
        <v>8.4161377913213286E+17</v>
      </c>
      <c r="CA14" s="4">
        <f t="shared" si="41"/>
        <v>8.4175904544345805E+17</v>
      </c>
      <c r="CB14" s="4">
        <f t="shared" si="3"/>
        <v>8.4189661490100134E+17</v>
      </c>
      <c r="CC14" s="4">
        <f t="shared" si="4"/>
        <v>8.4202641781595418E+17</v>
      </c>
      <c r="CD14" s="4">
        <f t="shared" si="5"/>
        <v>8.4214837534681178E+17</v>
      </c>
      <c r="CE14" s="4">
        <f t="shared" si="6"/>
        <v>8.4226241285397133E+17</v>
      </c>
      <c r="CF14" s="4">
        <f t="shared" si="7"/>
        <v>8.42368471086528E+17</v>
      </c>
      <c r="CG14" s="4">
        <f t="shared" si="8"/>
        <v>8.4246651369027546E+17</v>
      </c>
      <c r="CH14" s="4">
        <f t="shared" si="9"/>
        <v>8.4255653007268019E+17</v>
      </c>
      <c r="CI14" s="4">
        <f t="shared" si="10"/>
        <v>8.4263853371512154E+17</v>
      </c>
      <c r="CJ14" s="4">
        <f t="shared" si="11"/>
        <v>8.4271255692316122E+17</v>
      </c>
      <c r="CK14" s="4">
        <f t="shared" si="12"/>
        <v>8.4277864370591731E+17</v>
      </c>
      <c r="CL14" s="4">
        <f t="shared" si="13"/>
        <v>8.4283684242819008E+17</v>
      </c>
      <c r="CM14" s="4">
        <f t="shared" si="14"/>
        <v>8.4288719955604531E+17</v>
      </c>
      <c r="CN14" s="4">
        <f t="shared" si="15"/>
        <v>8.429297552333335E+17</v>
      </c>
      <c r="CO14" s="4">
        <f t="shared" si="16"/>
        <v>8.4296454095431616E+17</v>
      </c>
      <c r="CP14" s="4">
        <f t="shared" si="17"/>
        <v>8.4299157916733005E+17</v>
      </c>
      <c r="CQ14" s="4">
        <f t="shared" si="18"/>
        <v>8.4301088433360448E+17</v>
      </c>
      <c r="CR14" s="4">
        <f t="shared" si="19"/>
        <v>8.4302246475779379E+17</v>
      </c>
      <c r="CS14" s="4">
        <f t="shared" si="20"/>
        <v>8.4302632450266854E+17</v>
      </c>
      <c r="DN14" s="12"/>
      <c r="DO14" s="12"/>
      <c r="DP14" s="12"/>
      <c r="DQ14" s="12"/>
      <c r="DR14" s="12"/>
      <c r="DS14" s="12"/>
      <c r="DT14" s="12"/>
      <c r="DU14" s="12"/>
      <c r="DV14" s="12"/>
      <c r="DW14" s="12"/>
      <c r="DX14" s="12"/>
      <c r="DY14" s="12"/>
      <c r="DZ14" s="12"/>
      <c r="EA14" s="12"/>
      <c r="EB14" s="12"/>
      <c r="EC14" s="12"/>
      <c r="ED14" s="12"/>
      <c r="EE14" s="12"/>
      <c r="EF14" s="12"/>
      <c r="EG14" s="12"/>
      <c r="EH14" s="12"/>
      <c r="EI14" s="12"/>
    </row>
    <row r="15" spans="1:139" ht="15" customHeight="1">
      <c r="A15" s="21"/>
      <c r="B15" s="17"/>
      <c r="C15" s="17"/>
      <c r="D15" s="22">
        <v>850</v>
      </c>
      <c r="E15" s="31">
        <v>91.474390295956013</v>
      </c>
      <c r="F15" s="31">
        <v>99.204309927982024</v>
      </c>
      <c r="H15" s="23">
        <v>0</v>
      </c>
      <c r="I15" s="23">
        <v>4.8750000000000009E-2</v>
      </c>
      <c r="J15" s="19">
        <v>7376828334329096</v>
      </c>
      <c r="K15" s="1" t="s">
        <v>98</v>
      </c>
      <c r="M15" s="131">
        <v>4.5000000000000005E-2</v>
      </c>
      <c r="N15" s="18">
        <v>7379715761101232</v>
      </c>
      <c r="O15" s="18">
        <v>7379946448627088</v>
      </c>
      <c r="P15" s="18">
        <v>7380602865081608</v>
      </c>
      <c r="Q15" s="18">
        <v>7381594837380112</v>
      </c>
      <c r="R15" s="18">
        <v>7382813759417184</v>
      </c>
      <c r="S15" s="18">
        <v>7384162822157432</v>
      </c>
      <c r="T15" s="18">
        <v>7385569955221120</v>
      </c>
      <c r="U15" s="18">
        <v>7386987444317544</v>
      </c>
      <c r="V15" s="18">
        <v>7388386158484248</v>
      </c>
      <c r="W15" s="18">
        <v>7389749436587616</v>
      </c>
      <c r="X15" s="18">
        <v>7391068420948384</v>
      </c>
      <c r="Y15" s="18">
        <v>7392338952499120</v>
      </c>
      <c r="Z15" s="18">
        <v>7393559632500832</v>
      </c>
      <c r="AA15" s="18">
        <v>7394730638714776</v>
      </c>
      <c r="AB15" s="18">
        <v>7395852997999672</v>
      </c>
      <c r="AC15" s="18">
        <v>7396928128641544</v>
      </c>
      <c r="AD15" s="18">
        <v>7397957544948784</v>
      </c>
      <c r="AE15" s="18">
        <v>7398942664913464</v>
      </c>
      <c r="AF15" s="18">
        <v>7399884689291216</v>
      </c>
      <c r="AG15" s="18">
        <v>7400784534415200</v>
      </c>
      <c r="AH15" s="18">
        <v>7401642807873392</v>
      </c>
      <c r="AI15" s="18">
        <v>7402459818703160</v>
      </c>
      <c r="AJ15" s="18">
        <v>7403235614714952</v>
      </c>
      <c r="AK15" s="18">
        <v>7403970039551440</v>
      </c>
      <c r="AL15" s="18">
        <v>7404662802141368</v>
      </c>
      <c r="AM15" s="18">
        <v>7405313550846624</v>
      </c>
      <c r="AN15" s="18">
        <v>7405921944247792</v>
      </c>
      <c r="AO15" s="18">
        <v>7406487710133088</v>
      </c>
      <c r="AP15" s="18">
        <v>7407010685392320</v>
      </c>
      <c r="AQ15" s="18">
        <v>7407490832325664</v>
      </c>
      <c r="AR15" s="18">
        <v>7407928231883584</v>
      </c>
      <c r="AS15" s="18">
        <v>7408323058777712</v>
      </c>
      <c r="AT15" s="18">
        <v>7408675546694136</v>
      </c>
      <c r="AU15" s="18">
        <v>7408985951815408</v>
      </c>
      <c r="AV15" s="18">
        <v>7409254521316744</v>
      </c>
      <c r="AW15" s="18">
        <v>7409481470720936</v>
      </c>
      <c r="AX15" s="18">
        <v>7409666971589976</v>
      </c>
      <c r="AY15" s="18">
        <v>7409811148835680</v>
      </c>
      <c r="AZ15" s="18">
        <v>7409914085348552</v>
      </c>
      <c r="BA15" s="18">
        <v>7409975830603080</v>
      </c>
      <c r="BB15" s="18">
        <v>7409996409820032</v>
      </c>
      <c r="BE15" s="4">
        <f t="shared" si="2"/>
        <v>8.3665951757531635E+17</v>
      </c>
      <c r="BF15" s="4">
        <f t="shared" si="2"/>
        <v>8.3670263242058854E+17</v>
      </c>
      <c r="BG15" s="4">
        <f t="shared" si="21"/>
        <v>8.3682532059834278E+17</v>
      </c>
      <c r="BH15" s="4">
        <f t="shared" si="22"/>
        <v>8.3701074246926195E+17</v>
      </c>
      <c r="BI15" s="4">
        <f t="shared" si="23"/>
        <v>8.3723861318503283E+17</v>
      </c>
      <c r="BJ15" s="4">
        <f t="shared" si="24"/>
        <v>8.3749084749817408E+17</v>
      </c>
      <c r="BK15" s="4">
        <f t="shared" si="25"/>
        <v>8.3775397786069171E+17</v>
      </c>
      <c r="BL15" s="4">
        <f t="shared" si="26"/>
        <v>8.3801908466484877E+17</v>
      </c>
      <c r="BM15" s="4">
        <f t="shared" si="27"/>
        <v>8.382807193195424E+17</v>
      </c>
      <c r="BN15" s="4">
        <f t="shared" si="28"/>
        <v>8.3853576304085722E+17</v>
      </c>
      <c r="BO15" s="4">
        <f t="shared" si="29"/>
        <v>8.3878255548178867E+17</v>
      </c>
      <c r="BP15" s="4">
        <f t="shared" si="30"/>
        <v>8.3902031479540416E+17</v>
      </c>
      <c r="BQ15" s="4">
        <f t="shared" si="31"/>
        <v>8.3924877549882944E+17</v>
      </c>
      <c r="BR15" s="4">
        <f t="shared" si="32"/>
        <v>8.3946796723035942E+17</v>
      </c>
      <c r="BS15" s="4">
        <f t="shared" si="33"/>
        <v>8.396780787577015E+17</v>
      </c>
      <c r="BT15" s="4">
        <f t="shared" si="34"/>
        <v>8.3987937237389299E+17</v>
      </c>
      <c r="BU15" s="4">
        <f t="shared" si="35"/>
        <v>8.4007212861053581E+17</v>
      </c>
      <c r="BV15" s="4">
        <f t="shared" si="36"/>
        <v>8.4025661021327539E+17</v>
      </c>
      <c r="BW15" s="4">
        <f t="shared" si="37"/>
        <v>8.4043303947124685E+17</v>
      </c>
      <c r="BX15" s="4">
        <f t="shared" si="38"/>
        <v>8.4060158560034586E+17</v>
      </c>
      <c r="BY15" s="4">
        <f t="shared" si="39"/>
        <v>8.4076236015230592E+17</v>
      </c>
      <c r="BZ15" s="4">
        <f t="shared" si="40"/>
        <v>8.4091541889186662E+17</v>
      </c>
      <c r="CA15" s="4">
        <f t="shared" si="41"/>
        <v>8.4106076876178202E+17</v>
      </c>
      <c r="CB15" s="4">
        <f t="shared" si="3"/>
        <v>8.4119837855280128E+17</v>
      </c>
      <c r="CC15" s="4">
        <f t="shared" si="4"/>
        <v>8.413281919042688E+17</v>
      </c>
      <c r="CD15" s="4">
        <f t="shared" si="5"/>
        <v>8.4145014119220698E+17</v>
      </c>
      <c r="CE15" s="4">
        <f t="shared" si="6"/>
        <v>8.4156416079448563E+17</v>
      </c>
      <c r="CF15" s="4">
        <f t="shared" si="7"/>
        <v>8.4167019815055206E+17</v>
      </c>
      <c r="CG15" s="4">
        <f t="shared" si="8"/>
        <v>8.417682212456023E+17</v>
      </c>
      <c r="CH15" s="4">
        <f t="shared" si="9"/>
        <v>8.4185822167516838E+17</v>
      </c>
      <c r="CI15" s="4">
        <f t="shared" si="10"/>
        <v>8.4194021338474918E+17</v>
      </c>
      <c r="CJ15" s="4">
        <f t="shared" si="11"/>
        <v>8.420142280089623E+17</v>
      </c>
      <c r="CK15" s="4">
        <f t="shared" si="12"/>
        <v>8.420803083526135E+17</v>
      </c>
      <c r="CL15" s="4">
        <f t="shared" si="13"/>
        <v>8.4213850155221798E+17</v>
      </c>
      <c r="CM15" s="4">
        <f t="shared" si="14"/>
        <v>8.4218885316819469E+17</v>
      </c>
      <c r="CN15" s="4">
        <f t="shared" si="15"/>
        <v>8.4223140293684019E+17</v>
      </c>
      <c r="CO15" s="4">
        <f t="shared" si="16"/>
        <v>8.422661824599703E+17</v>
      </c>
      <c r="CP15" s="4">
        <f t="shared" si="17"/>
        <v>8.4229321469826368E+17</v>
      </c>
      <c r="CQ15" s="4">
        <f t="shared" si="18"/>
        <v>8.4231251483726362E+17</v>
      </c>
      <c r="CR15" s="4">
        <f t="shared" si="19"/>
        <v>8.4232409189956723E+17</v>
      </c>
      <c r="CS15" s="4">
        <f t="shared" si="20"/>
        <v>8.4232795046199142E+17</v>
      </c>
      <c r="DN15" s="12"/>
      <c r="DO15" s="12"/>
      <c r="DP15" s="12"/>
      <c r="DQ15" s="12"/>
      <c r="DR15" s="12"/>
      <c r="DS15" s="12"/>
      <c r="DT15" s="12"/>
      <c r="DU15" s="12"/>
      <c r="DV15" s="12"/>
      <c r="DW15" s="12"/>
      <c r="DX15" s="12"/>
      <c r="DY15" s="12"/>
      <c r="DZ15" s="12"/>
      <c r="EA15" s="12"/>
      <c r="EB15" s="12"/>
      <c r="EC15" s="12"/>
      <c r="ED15" s="12"/>
      <c r="EE15" s="12"/>
      <c r="EF15" s="12"/>
      <c r="EG15" s="12"/>
      <c r="EH15" s="12"/>
      <c r="EI15" s="12"/>
    </row>
    <row r="16" spans="1:139" ht="15" customHeight="1">
      <c r="A16" s="21"/>
      <c r="B16" s="17"/>
      <c r="C16" s="17"/>
      <c r="D16" s="22">
        <v>900</v>
      </c>
      <c r="E16" s="31">
        <v>90.934133922992757</v>
      </c>
      <c r="F16" s="31">
        <v>98.63273535415405</v>
      </c>
      <c r="H16" s="23">
        <v>0</v>
      </c>
      <c r="I16" s="23">
        <v>5.2500000000000005E-2</v>
      </c>
      <c r="J16" s="19">
        <v>7373940914202160</v>
      </c>
      <c r="K16" s="129">
        <v>40</v>
      </c>
      <c r="M16" s="131">
        <v>4.8750000000000009E-2</v>
      </c>
      <c r="N16" s="18">
        <v>7376828334329096</v>
      </c>
      <c r="O16" s="18">
        <v>7377075332945128</v>
      </c>
      <c r="P16" s="18">
        <v>7377775543441976</v>
      </c>
      <c r="Q16" s="18">
        <v>7378826855551784</v>
      </c>
      <c r="R16" s="18">
        <v>7380108621740336</v>
      </c>
      <c r="S16" s="18">
        <v>7381516024687856</v>
      </c>
      <c r="T16" s="18">
        <v>7382973352567848</v>
      </c>
      <c r="U16" s="18">
        <v>7384432165725776</v>
      </c>
      <c r="V16" s="18">
        <v>7385864054329328</v>
      </c>
      <c r="W16" s="18">
        <v>7387253594405000</v>
      </c>
      <c r="X16" s="18">
        <v>7388593217073760</v>
      </c>
      <c r="Y16" s="18">
        <v>7389879913495976</v>
      </c>
      <c r="Z16" s="18">
        <v>7391113241306608</v>
      </c>
      <c r="AA16" s="18">
        <v>7392294143940808</v>
      </c>
      <c r="AB16" s="18">
        <v>7393424248141640</v>
      </c>
      <c r="AC16" s="18">
        <v>7394505436504520</v>
      </c>
      <c r="AD16" s="18">
        <v>7395539580906760</v>
      </c>
      <c r="AE16" s="18">
        <v>7396528375095040</v>
      </c>
      <c r="AF16" s="18">
        <v>7397473234233128</v>
      </c>
      <c r="AG16" s="18">
        <v>7398375243815824</v>
      </c>
      <c r="AH16" s="18">
        <v>7399235147587200</v>
      </c>
      <c r="AI16" s="18">
        <v>7400053366617864</v>
      </c>
      <c r="AJ16" s="18">
        <v>7400830042769536</v>
      </c>
      <c r="AK16" s="18">
        <v>7401565099643080</v>
      </c>
      <c r="AL16" s="18">
        <v>7402258314168920</v>
      </c>
      <c r="AM16" s="18">
        <v>7402909391525744</v>
      </c>
      <c r="AN16" s="18">
        <v>7403518035839912</v>
      </c>
      <c r="AO16" s="18">
        <v>7404084008830024</v>
      </c>
      <c r="AP16" s="18">
        <v>7404607169793880</v>
      </c>
      <c r="AQ16" s="18">
        <v>7405087492968248</v>
      </c>
      <c r="AR16" s="18">
        <v>7405525062849680</v>
      </c>
      <c r="AS16" s="18">
        <v>7405920052088856</v>
      </c>
      <c r="AT16" s="18">
        <v>7406272689563624</v>
      </c>
      <c r="AU16" s="18">
        <v>7406583226323352</v>
      </c>
      <c r="AV16" s="18">
        <v>7406851905764944</v>
      </c>
      <c r="AW16" s="18">
        <v>7407078941847984</v>
      </c>
      <c r="AX16" s="18">
        <v>7407264506905440</v>
      </c>
      <c r="AY16" s="18">
        <v>7407408728452744</v>
      </c>
      <c r="AZ16" s="18">
        <v>7407511692933496</v>
      </c>
      <c r="BA16" s="18">
        <v>7407573453299608</v>
      </c>
      <c r="BB16" s="18">
        <v>7407594037255736</v>
      </c>
      <c r="BE16" s="4">
        <f t="shared" si="2"/>
        <v>8.358797360573993E+17</v>
      </c>
      <c r="BF16" s="4">
        <f t="shared" si="2"/>
        <v>8.3592587196997338E+17</v>
      </c>
      <c r="BG16" s="4">
        <f t="shared" si="21"/>
        <v>8.3605666817610573E+17</v>
      </c>
      <c r="BH16" s="4">
        <f t="shared" si="22"/>
        <v>8.3625306694180966E+17</v>
      </c>
      <c r="BI16" s="4">
        <f t="shared" si="23"/>
        <v>8.3649254730911616E+17</v>
      </c>
      <c r="BJ16" s="4">
        <f t="shared" si="24"/>
        <v>8.367555388707959E+17</v>
      </c>
      <c r="BK16" s="4">
        <f t="shared" si="25"/>
        <v>8.3702790113692019E+17</v>
      </c>
      <c r="BL16" s="4">
        <f t="shared" si="26"/>
        <v>8.3730058335919795E+17</v>
      </c>
      <c r="BM16" s="4">
        <f t="shared" si="27"/>
        <v>8.3756827405322688E+17</v>
      </c>
      <c r="BN16" s="4">
        <f t="shared" si="28"/>
        <v>8.3782808676349171E+17</v>
      </c>
      <c r="BO16" s="4">
        <f t="shared" si="29"/>
        <v>8.3807860245619904E+17</v>
      </c>
      <c r="BP16" s="4">
        <f t="shared" si="30"/>
        <v>8.3831925435081613E+17</v>
      </c>
      <c r="BQ16" s="4">
        <f t="shared" si="31"/>
        <v>8.3854995562530918E+17</v>
      </c>
      <c r="BR16" s="4">
        <f t="shared" si="32"/>
        <v>8.3877087885518157E+17</v>
      </c>
      <c r="BS16" s="4">
        <f t="shared" si="33"/>
        <v>8.3898232472757568E+17</v>
      </c>
      <c r="BT16" s="4">
        <f t="shared" si="34"/>
        <v>8.3918464211279552E+17</v>
      </c>
      <c r="BU16" s="4">
        <f t="shared" si="35"/>
        <v>8.3937817818409382E+17</v>
      </c>
      <c r="BV16" s="4">
        <f t="shared" si="36"/>
        <v>8.3956324706300442E+17</v>
      </c>
      <c r="BW16" s="4">
        <f t="shared" si="37"/>
        <v>8.3974011098122445E+17</v>
      </c>
      <c r="BX16" s="4">
        <f t="shared" si="38"/>
        <v>8.3990897067658829E+17</v>
      </c>
      <c r="BY16" s="4">
        <f t="shared" si="39"/>
        <v>8.4006996309055718E+17</v>
      </c>
      <c r="BZ16" s="4">
        <f t="shared" si="40"/>
        <v>8.4022316490334464E+17</v>
      </c>
      <c r="CA16" s="4">
        <f t="shared" si="41"/>
        <v>8.403686006420073E+17</v>
      </c>
      <c r="CB16" s="4">
        <f t="shared" si="3"/>
        <v>8.4050625407064013E+17</v>
      </c>
      <c r="CC16" s="4">
        <f t="shared" si="4"/>
        <v>8.4063608158231053E+17</v>
      </c>
      <c r="CD16" s="4">
        <f t="shared" si="5"/>
        <v>8.4075802622269069E+17</v>
      </c>
      <c r="CE16" s="4">
        <f t="shared" si="6"/>
        <v>8.408720309306528E+17</v>
      </c>
      <c r="CF16" s="4">
        <f t="shared" si="7"/>
        <v>8.4097804952637952E+17</v>
      </c>
      <c r="CG16" s="4">
        <f t="shared" si="8"/>
        <v>8.4107605420791002E+17</v>
      </c>
      <c r="CH16" s="4">
        <f t="shared" si="9"/>
        <v>8.411660388101321E+17</v>
      </c>
      <c r="CI16" s="4">
        <f t="shared" si="10"/>
        <v>8.4124801793431834E+17</v>
      </c>
      <c r="CJ16" s="4">
        <f t="shared" si="11"/>
        <v>8.4132202281089843E+17</v>
      </c>
      <c r="CK16" s="4">
        <f t="shared" si="12"/>
        <v>8.4138809531967296E+17</v>
      </c>
      <c r="CL16" s="4">
        <f t="shared" si="13"/>
        <v>8.414462816088681E+17</v>
      </c>
      <c r="CM16" s="4">
        <f t="shared" si="14"/>
        <v>8.414966265053335E+17</v>
      </c>
      <c r="CN16" s="4">
        <f t="shared" si="15"/>
        <v>8.4153916943008768E+17</v>
      </c>
      <c r="CO16" s="4">
        <f t="shared" si="16"/>
        <v>8.4157394211159936E+17</v>
      </c>
      <c r="CP16" s="4">
        <f t="shared" si="17"/>
        <v>8.4160096798546278E+17</v>
      </c>
      <c r="CQ16" s="4">
        <f t="shared" si="18"/>
        <v>8.4162026289444314E+17</v>
      </c>
      <c r="CR16" s="4">
        <f t="shared" si="19"/>
        <v>8.4163183650766387E+17</v>
      </c>
      <c r="CS16" s="4">
        <f t="shared" si="20"/>
        <v>8.416356938648073E+17</v>
      </c>
      <c r="DN16" s="12"/>
      <c r="DO16" s="12"/>
      <c r="DP16" s="12"/>
      <c r="DQ16" s="12"/>
      <c r="DR16" s="12"/>
      <c r="DS16" s="12"/>
      <c r="DT16" s="12"/>
      <c r="DU16" s="12"/>
      <c r="DV16" s="12"/>
      <c r="DW16" s="12"/>
      <c r="DX16" s="12"/>
      <c r="DY16" s="12"/>
      <c r="DZ16" s="12"/>
      <c r="EA16" s="12"/>
      <c r="EB16" s="12"/>
      <c r="EC16" s="12"/>
      <c r="ED16" s="12"/>
      <c r="EE16" s="12"/>
      <c r="EF16" s="12"/>
      <c r="EG16" s="12"/>
      <c r="EH16" s="12"/>
      <c r="EI16" s="12"/>
    </row>
    <row r="17" spans="1:139" ht="15" customHeight="1">
      <c r="A17" s="21"/>
      <c r="B17" s="17"/>
      <c r="C17" s="17"/>
      <c r="D17" s="22">
        <v>950</v>
      </c>
      <c r="E17" s="31">
        <v>89.775460540747588</v>
      </c>
      <c r="F17" s="31">
        <v>97.633853246910874</v>
      </c>
      <c r="H17" s="23">
        <v>0</v>
      </c>
      <c r="I17" s="23">
        <v>5.6250000000000008E-2</v>
      </c>
      <c r="J17" s="19">
        <v>7371059223054424</v>
      </c>
      <c r="K17" s="1" t="s">
        <v>174</v>
      </c>
      <c r="M17" s="131">
        <v>5.2500000000000005E-2</v>
      </c>
      <c r="N17" s="18">
        <v>7373940914202160</v>
      </c>
      <c r="O17" s="18">
        <v>7374205939016936</v>
      </c>
      <c r="P17" s="18">
        <v>7374954200718904</v>
      </c>
      <c r="Q17" s="18">
        <v>7376069812947832</v>
      </c>
      <c r="R17" s="18">
        <v>7377418668892248</v>
      </c>
      <c r="S17" s="18">
        <v>7378887440546152</v>
      </c>
      <c r="T17" s="18">
        <v>7380396884309528</v>
      </c>
      <c r="U17" s="18">
        <v>7381898143346184</v>
      </c>
      <c r="V17" s="18">
        <v>7383363815447464</v>
      </c>
      <c r="W17" s="18">
        <v>7384779918177336</v>
      </c>
      <c r="X17" s="18">
        <v>7386140301268576</v>
      </c>
      <c r="Y17" s="18">
        <v>7387443184187304</v>
      </c>
      <c r="Z17" s="18">
        <v>7388689127090056</v>
      </c>
      <c r="AA17" s="18">
        <v>7389879866555272</v>
      </c>
      <c r="AB17" s="18">
        <v>7391017645977840</v>
      </c>
      <c r="AC17" s="18">
        <v>7392104822758736</v>
      </c>
      <c r="AD17" s="18">
        <v>7393143632968744</v>
      </c>
      <c r="AE17" s="18">
        <v>7394136050094200</v>
      </c>
      <c r="AF17" s="18">
        <v>7395083705738264</v>
      </c>
      <c r="AG17" s="18">
        <v>7395987855029656</v>
      </c>
      <c r="AH17" s="18">
        <v>7396849377096480</v>
      </c>
      <c r="AI17" s="18">
        <v>7397668803288784</v>
      </c>
      <c r="AJ17" s="18">
        <v>7398446367066856</v>
      </c>
      <c r="AK17" s="18">
        <v>7399182069105296</v>
      </c>
      <c r="AL17" s="18">
        <v>7399875751318248</v>
      </c>
      <c r="AM17" s="18">
        <v>7400527172846952</v>
      </c>
      <c r="AN17" s="18">
        <v>7401136080997240</v>
      </c>
      <c r="AO17" s="18">
        <v>7401702269803760</v>
      </c>
      <c r="AP17" s="18">
        <v>7402225620281768</v>
      </c>
      <c r="AQ17" s="18">
        <v>7402706118807176</v>
      </c>
      <c r="AR17" s="18">
        <v>7403143854336208</v>
      </c>
      <c r="AS17" s="18">
        <v>7403538998761904</v>
      </c>
      <c r="AT17" s="18">
        <v>7403891777539960</v>
      </c>
      <c r="AU17" s="18">
        <v>7404202437791904</v>
      </c>
      <c r="AV17" s="18">
        <v>7404471220014240</v>
      </c>
      <c r="AW17" s="18">
        <v>7404698337089152</v>
      </c>
      <c r="AX17" s="18">
        <v>7404883962242056</v>
      </c>
      <c r="AY17" s="18">
        <v>7405028225431816</v>
      </c>
      <c r="AZ17" s="18">
        <v>7405131216342344</v>
      </c>
      <c r="BA17" s="18">
        <v>7405192991062760</v>
      </c>
      <c r="BB17" s="18">
        <v>7405213579536096</v>
      </c>
      <c r="BE17" s="4">
        <f t="shared" si="2"/>
        <v>8.3510050081364646E+17</v>
      </c>
      <c r="BF17" s="4">
        <f t="shared" si="2"/>
        <v>8.3514997435621235E+17</v>
      </c>
      <c r="BG17" s="4">
        <f t="shared" si="21"/>
        <v>8.352896637584265E+17</v>
      </c>
      <c r="BH17" s="4">
        <f t="shared" si="22"/>
        <v>8.3549795277962406E+17</v>
      </c>
      <c r="BI17" s="4">
        <f t="shared" si="23"/>
        <v>8.3574982238353741E+17</v>
      </c>
      <c r="BJ17" s="4">
        <f t="shared" si="24"/>
        <v>8.3602412485290547E+17</v>
      </c>
      <c r="BK17" s="4">
        <f t="shared" si="25"/>
        <v>8.363060678591337E+17</v>
      </c>
      <c r="BL17" s="4">
        <f t="shared" si="26"/>
        <v>8.3658652707681574E+17</v>
      </c>
      <c r="BM17" s="4">
        <f t="shared" si="27"/>
        <v>8.3686038138380979E+17</v>
      </c>
      <c r="BN17" s="4">
        <f t="shared" si="28"/>
        <v>8.371250145078153E+17</v>
      </c>
      <c r="BO17" s="4">
        <f t="shared" si="29"/>
        <v>8.3737927267499226E+17</v>
      </c>
      <c r="BP17" s="4">
        <f t="shared" si="30"/>
        <v>8.3762281850140813E+17</v>
      </c>
      <c r="BQ17" s="4">
        <f t="shared" si="31"/>
        <v>8.3785575224176614E+17</v>
      </c>
      <c r="BR17" s="4">
        <f t="shared" si="32"/>
        <v>8.3807839438033574E+17</v>
      </c>
      <c r="BS17" s="4">
        <f t="shared" si="33"/>
        <v>8.3829116053307571E+17</v>
      </c>
      <c r="BT17" s="4">
        <f t="shared" si="34"/>
        <v>8.384944880146985E+17</v>
      </c>
      <c r="BU17" s="4">
        <f t="shared" si="35"/>
        <v>8.3868879180649958E+17</v>
      </c>
      <c r="BV17" s="4">
        <f t="shared" si="36"/>
        <v>8.3887443809606925E+17</v>
      </c>
      <c r="BW17" s="4">
        <f t="shared" si="37"/>
        <v>8.390517293951817E+17</v>
      </c>
      <c r="BX17" s="4">
        <f t="shared" si="38"/>
        <v>8.3922089801872269E+17</v>
      </c>
      <c r="BY17" s="4">
        <f t="shared" si="39"/>
        <v>8.3938210612675456E+17</v>
      </c>
      <c r="BZ17" s="4">
        <f t="shared" si="40"/>
        <v>8.3953545096480358E+17</v>
      </c>
      <c r="CA17" s="4">
        <f t="shared" si="41"/>
        <v>8.3968097416664627E+17</v>
      </c>
      <c r="CB17" s="4">
        <f t="shared" si="3"/>
        <v>8.3981867391390886E+17</v>
      </c>
      <c r="CC17" s="4">
        <f t="shared" si="4"/>
        <v>8.3994851877474586E+17</v>
      </c>
      <c r="CD17" s="4">
        <f t="shared" si="5"/>
        <v>8.4007046191854822E+17</v>
      </c>
      <c r="CE17" s="4">
        <f t="shared" si="6"/>
        <v>8.4018445439274803E+17</v>
      </c>
      <c r="CF17" s="4">
        <f t="shared" si="7"/>
        <v>8.4029045608888883E+17</v>
      </c>
      <c r="CG17" s="4">
        <f t="shared" si="8"/>
        <v>8.4038844328378048E+17</v>
      </c>
      <c r="CH17" s="4">
        <f t="shared" si="9"/>
        <v>8.4047841208699418E+17</v>
      </c>
      <c r="CI17" s="4">
        <f t="shared" si="10"/>
        <v>8.4056037792583731E+17</v>
      </c>
      <c r="CJ17" s="4">
        <f t="shared" si="11"/>
        <v>8.4063437187102669E+17</v>
      </c>
      <c r="CK17" s="4">
        <f t="shared" si="12"/>
        <v>8.4070043513797427E+17</v>
      </c>
      <c r="CL17" s="4">
        <f t="shared" si="13"/>
        <v>8.407586131135081E+17</v>
      </c>
      <c r="CM17" s="4">
        <f t="shared" si="14"/>
        <v>8.4080895005623104E+17</v>
      </c>
      <c r="CN17" s="4">
        <f t="shared" si="15"/>
        <v>8.4085148516332134E+17</v>
      </c>
      <c r="CO17" s="4">
        <f t="shared" si="16"/>
        <v>8.4088625031261146E+17</v>
      </c>
      <c r="CP17" s="4">
        <f t="shared" si="17"/>
        <v>8.4091326938417088E+17</v>
      </c>
      <c r="CQ17" s="4">
        <f t="shared" si="18"/>
        <v>8.4093255881874266E+17</v>
      </c>
      <c r="CR17" s="4">
        <f t="shared" si="19"/>
        <v>8.4094412886758733E+17</v>
      </c>
      <c r="CS17" s="4">
        <f t="shared" si="20"/>
        <v>8.4094798498678208E+17</v>
      </c>
      <c r="DN17" s="12"/>
      <c r="DO17" s="12"/>
      <c r="DP17" s="12"/>
      <c r="DQ17" s="12"/>
      <c r="DR17" s="12"/>
      <c r="DS17" s="12"/>
      <c r="DT17" s="12"/>
      <c r="DU17" s="12"/>
      <c r="DV17" s="12"/>
      <c r="DW17" s="12"/>
      <c r="DX17" s="12"/>
      <c r="DY17" s="12"/>
      <c r="DZ17" s="12"/>
      <c r="EA17" s="12"/>
      <c r="EB17" s="12"/>
      <c r="EC17" s="12"/>
      <c r="ED17" s="12"/>
      <c r="EE17" s="12"/>
      <c r="EF17" s="12"/>
      <c r="EG17" s="12"/>
      <c r="EH17" s="12"/>
      <c r="EI17" s="12"/>
    </row>
    <row r="18" spans="1:139" ht="15" customHeight="1">
      <c r="A18" s="21"/>
      <c r="B18" s="17"/>
      <c r="C18" s="17"/>
      <c r="D18" s="22">
        <v>1000</v>
      </c>
      <c r="E18" s="31">
        <v>86.64927287086465</v>
      </c>
      <c r="F18" s="31">
        <v>96.416730138009697</v>
      </c>
      <c r="H18" s="23">
        <v>0</v>
      </c>
      <c r="I18" s="23">
        <v>6.0000000000000012E-2</v>
      </c>
      <c r="J18" s="19">
        <v>7368175236662440</v>
      </c>
      <c r="K18" s="115"/>
      <c r="M18" s="131">
        <v>5.6250000000000008E-2</v>
      </c>
      <c r="N18" s="18">
        <v>7371059223054424</v>
      </c>
      <c r="O18" s="18">
        <v>7371344248533328</v>
      </c>
      <c r="P18" s="18">
        <v>7372145402321112</v>
      </c>
      <c r="Q18" s="18">
        <v>7373330830190312</v>
      </c>
      <c r="R18" s="18">
        <v>7374751360913792</v>
      </c>
      <c r="S18" s="18">
        <v>7376284664033968</v>
      </c>
      <c r="T18" s="18">
        <v>7377848155724648</v>
      </c>
      <c r="U18" s="18">
        <v>7379392939031592</v>
      </c>
      <c r="V18" s="18">
        <v>7380892944686088</v>
      </c>
      <c r="W18" s="18">
        <v>7382335853560640</v>
      </c>
      <c r="X18" s="18">
        <v>7383717069993256</v>
      </c>
      <c r="Y18" s="18">
        <v>7385036121002864</v>
      </c>
      <c r="Z18" s="18">
        <v>7386294614656736</v>
      </c>
      <c r="AA18" s="18">
        <v>7387495106787848</v>
      </c>
      <c r="AB18" s="18">
        <v>7388640472814968</v>
      </c>
      <c r="AC18" s="18">
        <v>7389733554187488</v>
      </c>
      <c r="AD18" s="18">
        <v>7390776956751944</v>
      </c>
      <c r="AE18" s="18">
        <v>7391772936875120</v>
      </c>
      <c r="AF18" s="18">
        <v>7392723343975288</v>
      </c>
      <c r="AG18" s="18">
        <v>7393629602787312</v>
      </c>
      <c r="AH18" s="18">
        <v>7394492726688808</v>
      </c>
      <c r="AI18" s="18">
        <v>7395313355300552</v>
      </c>
      <c r="AJ18" s="18">
        <v>7396091811065056</v>
      </c>
      <c r="AK18" s="18">
        <v>7396828168749728</v>
      </c>
      <c r="AL18" s="18">
        <v>7397522332194928</v>
      </c>
      <c r="AM18" s="18">
        <v>7398174111642584</v>
      </c>
      <c r="AN18" s="18">
        <v>7398783295216888</v>
      </c>
      <c r="AO18" s="18">
        <v>7399349707645776</v>
      </c>
      <c r="AP18" s="18">
        <v>7399873250930944</v>
      </c>
      <c r="AQ18" s="18">
        <v>7400353923713920</v>
      </c>
      <c r="AR18" s="18">
        <v>7400791820222712</v>
      </c>
      <c r="AS18" s="18">
        <v>7401187112792744</v>
      </c>
      <c r="AT18" s="18">
        <v>7401540024756576</v>
      </c>
      <c r="AU18" s="18">
        <v>7401850800451008</v>
      </c>
      <c r="AV18" s="18">
        <v>7402119678319352</v>
      </c>
      <c r="AW18" s="18">
        <v>7402346870645672</v>
      </c>
      <c r="AX18" s="18">
        <v>7402532551687888</v>
      </c>
      <c r="AY18" s="18">
        <v>7402676853717944</v>
      </c>
      <c r="AZ18" s="18">
        <v>7402779869384696</v>
      </c>
      <c r="BA18" s="18">
        <v>7402841657606704</v>
      </c>
      <c r="BB18" s="18">
        <v>7402862250341016</v>
      </c>
      <c r="BE18" s="4">
        <f t="shared" si="2"/>
        <v>8.3432287911217882E+17</v>
      </c>
      <c r="BF18" s="4">
        <f t="shared" si="2"/>
        <v>8.3437605469981914E+17</v>
      </c>
      <c r="BG18" s="4">
        <f t="shared" si="21"/>
        <v>8.3452553008189619E+17</v>
      </c>
      <c r="BH18" s="4">
        <f t="shared" si="22"/>
        <v>8.3474672489692403E+17</v>
      </c>
      <c r="BI18" s="4">
        <f t="shared" si="23"/>
        <v>8.3501182555820608E+17</v>
      </c>
      <c r="BJ18" s="4">
        <f t="shared" si="24"/>
        <v>8.3529801698430528E+17</v>
      </c>
      <c r="BK18" s="4">
        <f t="shared" si="25"/>
        <v>8.3558989131097741E+17</v>
      </c>
      <c r="BL18" s="4">
        <f t="shared" si="26"/>
        <v>8.3587832093212314E+17</v>
      </c>
      <c r="BM18" s="4">
        <f t="shared" si="27"/>
        <v>8.3615843548956749E+17</v>
      </c>
      <c r="BN18" s="4">
        <f t="shared" si="28"/>
        <v>8.3642792992983808E+17</v>
      </c>
      <c r="BO18" s="4">
        <f t="shared" si="29"/>
        <v>8.3668594080062144E+17</v>
      </c>
      <c r="BP18" s="4">
        <f t="shared" si="30"/>
        <v>8.3693237464106406E+17</v>
      </c>
      <c r="BQ18" s="4">
        <f t="shared" si="31"/>
        <v>8.3716752704492147E+17</v>
      </c>
      <c r="BR18" s="4">
        <f t="shared" si="32"/>
        <v>8.3739187111675008E+17</v>
      </c>
      <c r="BS18" s="4">
        <f t="shared" si="33"/>
        <v>8.3760594014665971E+17</v>
      </c>
      <c r="BT18" s="4">
        <f t="shared" si="34"/>
        <v>8.3781026152499021E+17</v>
      </c>
      <c r="BU18" s="4">
        <f t="shared" si="35"/>
        <v>8.380053190118551E+17</v>
      </c>
      <c r="BV18" s="4">
        <f t="shared" si="36"/>
        <v>8.3819153139299354E+17</v>
      </c>
      <c r="BW18" s="4">
        <f t="shared" si="37"/>
        <v>8.3836924167534144E+17</v>
      </c>
      <c r="BX18" s="4">
        <f t="shared" si="38"/>
        <v>8.3853871371287322E+17</v>
      </c>
      <c r="BY18" s="4">
        <f t="shared" si="39"/>
        <v>8.387001346460064E+17</v>
      </c>
      <c r="BZ18" s="4">
        <f t="shared" si="40"/>
        <v>8.3885362188858944E+17</v>
      </c>
      <c r="CA18" s="4">
        <f t="shared" si="41"/>
        <v>8.3899923367389594E+17</v>
      </c>
      <c r="CB18" s="4">
        <f t="shared" si="3"/>
        <v>8.3913698202825498E+17</v>
      </c>
      <c r="CC18" s="4">
        <f t="shared" si="4"/>
        <v>8.3926684710989747E+17</v>
      </c>
      <c r="CD18" s="4">
        <f t="shared" si="5"/>
        <v>8.393887916655191E+17</v>
      </c>
      <c r="CE18" s="4">
        <f t="shared" si="6"/>
        <v>8.395027744004119E+17</v>
      </c>
      <c r="CF18" s="4">
        <f t="shared" si="7"/>
        <v>8.3960876096706112E+17</v>
      </c>
      <c r="CG18" s="4">
        <f t="shared" si="8"/>
        <v>8.3970673157964186E+17</v>
      </c>
      <c r="CH18" s="4">
        <f t="shared" si="9"/>
        <v>8.3979668464346931E+17</v>
      </c>
      <c r="CI18" s="4">
        <f t="shared" si="10"/>
        <v>8.3987863656290739E+17</v>
      </c>
      <c r="CJ18" s="4">
        <f t="shared" si="11"/>
        <v>8.3995261847373606E+17</v>
      </c>
      <c r="CK18" s="4">
        <f t="shared" si="12"/>
        <v>8.4001867117090662E+17</v>
      </c>
      <c r="CL18" s="4">
        <f t="shared" si="13"/>
        <v>8.4007683949475635E+17</v>
      </c>
      <c r="CM18" s="4">
        <f t="shared" si="14"/>
        <v>8.4012716729497677E+17</v>
      </c>
      <c r="CN18" s="4">
        <f t="shared" si="15"/>
        <v>8.4016969363500378E+17</v>
      </c>
      <c r="CO18" s="4">
        <f t="shared" si="16"/>
        <v>8.4020445056820992E+17</v>
      </c>
      <c r="CP18" s="4">
        <f t="shared" si="17"/>
        <v>8.4023146239435507E+17</v>
      </c>
      <c r="CQ18" s="4">
        <f t="shared" si="18"/>
        <v>8.4025074610003456E+17</v>
      </c>
      <c r="CR18" s="4">
        <f t="shared" si="19"/>
        <v>8.4026231246044518E+17</v>
      </c>
      <c r="CS18" s="4">
        <f t="shared" si="20"/>
        <v>8.4026616730563315E+17</v>
      </c>
      <c r="DN18" s="12"/>
      <c r="DO18" s="12"/>
      <c r="DP18" s="12"/>
      <c r="DQ18" s="12"/>
      <c r="DR18" s="12"/>
      <c r="DS18" s="12"/>
      <c r="DT18" s="12"/>
      <c r="DU18" s="12"/>
      <c r="DV18" s="12"/>
      <c r="DW18" s="12"/>
      <c r="DX18" s="12"/>
      <c r="DY18" s="12"/>
      <c r="DZ18" s="12"/>
      <c r="EA18" s="12"/>
      <c r="EB18" s="12"/>
      <c r="EC18" s="12"/>
      <c r="ED18" s="12"/>
      <c r="EE18" s="12"/>
      <c r="EF18" s="12"/>
      <c r="EG18" s="12"/>
      <c r="EH18" s="12"/>
      <c r="EI18" s="12"/>
    </row>
    <row r="19" spans="1:139" ht="15" customHeight="1">
      <c r="A19" s="21"/>
      <c r="B19" s="17"/>
      <c r="C19" s="17"/>
      <c r="D19" s="22">
        <v>1050</v>
      </c>
      <c r="E19" s="31">
        <v>73.051978340766553</v>
      </c>
      <c r="F19" s="31">
        <v>95.684435429524356</v>
      </c>
      <c r="H19" s="23">
        <v>0</v>
      </c>
      <c r="I19" s="23">
        <v>6.3750000000000015E-2</v>
      </c>
      <c r="J19" s="19">
        <v>7365292735933088</v>
      </c>
      <c r="K19" s="1" t="s">
        <v>175</v>
      </c>
      <c r="M19" s="131">
        <v>6.0000000000000012E-2</v>
      </c>
      <c r="N19" s="18">
        <v>7368175236662440</v>
      </c>
      <c r="O19" s="18">
        <v>7368482544773888</v>
      </c>
      <c r="P19" s="18">
        <v>7369342109993952</v>
      </c>
      <c r="Q19" s="18">
        <v>7370603490101368</v>
      </c>
      <c r="R19" s="18">
        <v>7372100637846008</v>
      </c>
      <c r="S19" s="18">
        <v>7373701760076856</v>
      </c>
      <c r="T19" s="18">
        <v>7375321227004912</v>
      </c>
      <c r="U19" s="18">
        <v>7376910556543816</v>
      </c>
      <c r="V19" s="18">
        <v>7378445378150952</v>
      </c>
      <c r="W19" s="18">
        <v>7379915274271232</v>
      </c>
      <c r="X19" s="18">
        <v>7381317344815352</v>
      </c>
      <c r="Y19" s="18">
        <v>7382652503849144</v>
      </c>
      <c r="Z19" s="18">
        <v>7383923451407752</v>
      </c>
      <c r="AA19" s="18">
        <v>7385133586996704</v>
      </c>
      <c r="AB19" s="18">
        <v>7386286431856528</v>
      </c>
      <c r="AC19" s="18">
        <v>7387385319378792</v>
      </c>
      <c r="AD19" s="18">
        <v>7388433229679504</v>
      </c>
      <c r="AE19" s="18">
        <v>7389432704274200</v>
      </c>
      <c r="AF19" s="18">
        <v>7390385811105088</v>
      </c>
      <c r="AG19" s="18">
        <v>7391294143971144</v>
      </c>
      <c r="AH19" s="18">
        <v>7392158848995504</v>
      </c>
      <c r="AI19" s="18">
        <v>7392980671792952</v>
      </c>
      <c r="AJ19" s="18">
        <v>7393760020999752</v>
      </c>
      <c r="AK19" s="18">
        <v>7394497042386528</v>
      </c>
      <c r="AL19" s="18">
        <v>7395191698610840</v>
      </c>
      <c r="AM19" s="18">
        <v>7395843848132128</v>
      </c>
      <c r="AN19" s="18">
        <v>7396453317529872</v>
      </c>
      <c r="AO19" s="18">
        <v>7397019960585184</v>
      </c>
      <c r="AP19" s="18">
        <v>7397543699517848</v>
      </c>
      <c r="AQ19" s="18">
        <v>7398024545289440</v>
      </c>
      <c r="AR19" s="18">
        <v>7398462598126312</v>
      </c>
      <c r="AS19" s="18">
        <v>7398858031913072</v>
      </c>
      <c r="AT19" s="18">
        <v>7399211069081680</v>
      </c>
      <c r="AU19" s="18">
        <v>7399521952271784</v>
      </c>
      <c r="AV19" s="18">
        <v>7399790918692264</v>
      </c>
      <c r="AW19" s="18">
        <v>7400018180500824</v>
      </c>
      <c r="AX19" s="18">
        <v>7400203913143208</v>
      </c>
      <c r="AY19" s="18">
        <v>7400348251099160</v>
      </c>
      <c r="AZ19" s="18">
        <v>7400451289739896</v>
      </c>
      <c r="BA19" s="18">
        <v>7400513090532056</v>
      </c>
      <c r="BB19" s="18">
        <v>7400533687243752</v>
      </c>
      <c r="BE19" s="4">
        <f t="shared" si="2"/>
        <v>8.3354537262861363E+17</v>
      </c>
      <c r="BF19" s="4">
        <f t="shared" si="2"/>
        <v>8.3360267131790938E+17</v>
      </c>
      <c r="BG19" s="4">
        <f t="shared" si="21"/>
        <v>8.337629502885289E+17</v>
      </c>
      <c r="BH19" s="4">
        <f t="shared" si="22"/>
        <v>8.339981803612489E+17</v>
      </c>
      <c r="BI19" s="4">
        <f t="shared" si="23"/>
        <v>8.3427741895947891E+17</v>
      </c>
      <c r="BJ19" s="4">
        <f t="shared" si="24"/>
        <v>8.345760995914816E+17</v>
      </c>
      <c r="BK19" s="4">
        <f t="shared" si="25"/>
        <v>8.3487825422905997E+17</v>
      </c>
      <c r="BL19" s="4">
        <f t="shared" si="26"/>
        <v>8.3517483668479552E+17</v>
      </c>
      <c r="BM19" s="4">
        <f t="shared" si="27"/>
        <v>8.3546129521176627E+17</v>
      </c>
      <c r="BN19" s="4">
        <f t="shared" si="28"/>
        <v>8.3573568002132186E+17</v>
      </c>
      <c r="BO19" s="4">
        <f t="shared" si="29"/>
        <v>8.359974439336201E+17</v>
      </c>
      <c r="BP19" s="4">
        <f t="shared" si="30"/>
        <v>8.3624675196208243E+17</v>
      </c>
      <c r="BQ19" s="4">
        <f t="shared" si="31"/>
        <v>8.3648410304166605E+17</v>
      </c>
      <c r="BR19" s="4">
        <f t="shared" si="32"/>
        <v>8.3671012728642189E+17</v>
      </c>
      <c r="BS19" s="4">
        <f t="shared" si="33"/>
        <v>8.3692547810860083E+17</v>
      </c>
      <c r="BT19" s="4">
        <f t="shared" si="34"/>
        <v>8.3713077435152525E+17</v>
      </c>
      <c r="BU19" s="4">
        <f t="shared" si="35"/>
        <v>8.3732656932050496E+17</v>
      </c>
      <c r="BV19" s="4">
        <f t="shared" si="36"/>
        <v>8.3751333476800896E+17</v>
      </c>
      <c r="BW19" s="4">
        <f t="shared" si="37"/>
        <v>8.3769145428650944E+17</v>
      </c>
      <c r="BX19" s="4">
        <f t="shared" si="38"/>
        <v>8.3786122313525069E+17</v>
      </c>
      <c r="BY19" s="4">
        <f t="shared" si="39"/>
        <v>8.3802285312824128E+17</v>
      </c>
      <c r="BZ19" s="4">
        <f t="shared" si="40"/>
        <v>8.3817648140134221E+17</v>
      </c>
      <c r="CA19" s="4">
        <f t="shared" si="41"/>
        <v>8.3832218224887181E+17</v>
      </c>
      <c r="CB19" s="4">
        <f t="shared" si="3"/>
        <v>8.3845998094977293E+17</v>
      </c>
      <c r="CC19" s="4">
        <f t="shared" si="4"/>
        <v>8.3858986865878067E+17</v>
      </c>
      <c r="CD19" s="4">
        <f t="shared" si="5"/>
        <v>8.3871181715049536E+17</v>
      </c>
      <c r="CE19" s="4">
        <f t="shared" si="6"/>
        <v>8.3882579233783411E+17</v>
      </c>
      <c r="CF19" s="4">
        <f t="shared" si="7"/>
        <v>8.3893176532114253E+17</v>
      </c>
      <c r="CG19" s="4">
        <f t="shared" si="8"/>
        <v>8.3902972010385766E+17</v>
      </c>
      <c r="CH19" s="4">
        <f t="shared" si="9"/>
        <v>8.3911965739461939E+17</v>
      </c>
      <c r="CI19" s="4">
        <f t="shared" si="10"/>
        <v>8.3920159470962675E+17</v>
      </c>
      <c r="CJ19" s="4">
        <f t="shared" si="11"/>
        <v>8.3927556345668326E+17</v>
      </c>
      <c r="CK19" s="4">
        <f t="shared" si="12"/>
        <v>8.3934160423947814E+17</v>
      </c>
      <c r="CL19" s="4">
        <f t="shared" si="13"/>
        <v>8.393997615559927E+17</v>
      </c>
      <c r="CM19" s="4">
        <f t="shared" si="14"/>
        <v>8.3945007900073267E+17</v>
      </c>
      <c r="CN19" s="4">
        <f t="shared" si="15"/>
        <v>8.3949259559190669E+17</v>
      </c>
      <c r="CO19" s="4">
        <f t="shared" si="16"/>
        <v>8.3952734358739776E+17</v>
      </c>
      <c r="CP19" s="4">
        <f t="shared" si="17"/>
        <v>8.3955434768658714E+17</v>
      </c>
      <c r="CQ19" s="4">
        <f t="shared" si="18"/>
        <v>8.3957362537600666E+17</v>
      </c>
      <c r="CR19" s="4">
        <f t="shared" si="19"/>
        <v>8.3958518790162074E+17</v>
      </c>
      <c r="CS19" s="4">
        <f t="shared" si="20"/>
        <v>8.3958904142909094E+17</v>
      </c>
      <c r="DN19" s="12"/>
      <c r="DO19" s="12"/>
      <c r="DP19" s="12"/>
      <c r="DQ19" s="12"/>
      <c r="DR19" s="12"/>
      <c r="DS19" s="12"/>
      <c r="DT19" s="12"/>
      <c r="DU19" s="12"/>
      <c r="DV19" s="12"/>
      <c r="DW19" s="12"/>
      <c r="DX19" s="12"/>
      <c r="DY19" s="12"/>
      <c r="DZ19" s="12"/>
      <c r="EA19" s="12"/>
      <c r="EB19" s="12"/>
      <c r="EC19" s="12"/>
      <c r="ED19" s="12"/>
      <c r="EE19" s="12"/>
      <c r="EF19" s="12"/>
      <c r="EG19" s="12"/>
      <c r="EH19" s="12"/>
      <c r="EI19" s="12"/>
    </row>
    <row r="20" spans="1:139" ht="15" customHeight="1">
      <c r="A20" s="21"/>
      <c r="B20" s="17"/>
      <c r="C20" s="17"/>
      <c r="D20" s="22">
        <v>1100</v>
      </c>
      <c r="E20" s="31">
        <v>51.448233747468301</v>
      </c>
      <c r="F20" s="31">
        <v>95.585037561301917</v>
      </c>
      <c r="H20" s="23">
        <v>0</v>
      </c>
      <c r="I20" s="23">
        <v>6.7500000000000004E-2</v>
      </c>
      <c r="J20" s="19">
        <v>7362404565361872</v>
      </c>
      <c r="K20" s="115"/>
      <c r="M20" s="131">
        <v>6.3750000000000015E-2</v>
      </c>
      <c r="N20" s="18">
        <v>7365292735933088</v>
      </c>
      <c r="O20" s="18">
        <v>7365624975266776</v>
      </c>
      <c r="P20" s="18">
        <v>7366549263227336</v>
      </c>
      <c r="Q20" s="18">
        <v>7367893427119088</v>
      </c>
      <c r="R20" s="18">
        <v>7369472507018832</v>
      </c>
      <c r="S20" s="18">
        <v>7371144846892608</v>
      </c>
      <c r="T20" s="18">
        <v>7372822192571880</v>
      </c>
      <c r="U20" s="18">
        <v>7374457019066136</v>
      </c>
      <c r="V20" s="18">
        <v>7376027061849424</v>
      </c>
      <c r="W20" s="18">
        <v>7377524058292368</v>
      </c>
      <c r="X20" s="18">
        <v>7378946948354312</v>
      </c>
      <c r="Y20" s="18">
        <v>7380298111849600</v>
      </c>
      <c r="Z20" s="18">
        <v>7381581382892208</v>
      </c>
      <c r="AA20" s="18">
        <v>7382801027030552</v>
      </c>
      <c r="AB20" s="18">
        <v>7383961223372336</v>
      </c>
      <c r="AC20" s="18">
        <v>7385065803695592</v>
      </c>
      <c r="AD20" s="18">
        <v>7386118125749456</v>
      </c>
      <c r="AE20" s="18">
        <v>7387121017567592</v>
      </c>
      <c r="AF20" s="18">
        <v>7388076765646032</v>
      </c>
      <c r="AG20" s="18">
        <v>7388987131780464</v>
      </c>
      <c r="AH20" s="18">
        <v>7389853392958800</v>
      </c>
      <c r="AI20" s="18">
        <v>7390676398234360</v>
      </c>
      <c r="AJ20" s="18">
        <v>7391456639469536</v>
      </c>
      <c r="AK20" s="18">
        <v>7392194330227136</v>
      </c>
      <c r="AL20" s="18">
        <v>7392889488814120</v>
      </c>
      <c r="AM20" s="18">
        <v>7393542018990632</v>
      </c>
      <c r="AN20" s="18">
        <v>7394151783417416</v>
      </c>
      <c r="AO20" s="18">
        <v>7394718663265544</v>
      </c>
      <c r="AP20" s="18">
        <v>7395242600169528</v>
      </c>
      <c r="AQ20" s="18">
        <v>7395723617400416</v>
      </c>
      <c r="AR20" s="18">
        <v>7396161821834608</v>
      </c>
      <c r="AS20" s="18">
        <v>7396557389929584</v>
      </c>
      <c r="AT20" s="18">
        <v>7396910544375288</v>
      </c>
      <c r="AU20" s="18">
        <v>7397221527148280</v>
      </c>
      <c r="AV20" s="18">
        <v>7397490575017960</v>
      </c>
      <c r="AW20" s="18">
        <v>7397717900478136</v>
      </c>
      <c r="AX20" s="18">
        <v>7397903680331456</v>
      </c>
      <c r="AY20" s="18">
        <v>7398048051179392</v>
      </c>
      <c r="AZ20" s="18">
        <v>7398151110902656</v>
      </c>
      <c r="BA20" s="18">
        <v>7398212923256304</v>
      </c>
      <c r="BB20" s="18">
        <v>7398233523634768</v>
      </c>
      <c r="BE20" s="4">
        <f t="shared" si="2"/>
        <v>8.3276868636395635E+17</v>
      </c>
      <c r="BF20" s="4">
        <f t="shared" si="2"/>
        <v>8.3283059679825062E+17</v>
      </c>
      <c r="BG20" s="4">
        <f t="shared" si="21"/>
        <v>8.3300284283280218E+17</v>
      </c>
      <c r="BH20" s="4">
        <f t="shared" si="22"/>
        <v>8.3325336534066944E+17</v>
      </c>
      <c r="BI20" s="4">
        <f t="shared" si="23"/>
        <v>8.3354771693427046E+17</v>
      </c>
      <c r="BJ20" s="4">
        <f t="shared" si="24"/>
        <v>8.3385950693688973E+17</v>
      </c>
      <c r="BK20" s="4">
        <f t="shared" si="25"/>
        <v>8.3417228611471488E+17</v>
      </c>
      <c r="BL20" s="4">
        <f t="shared" si="26"/>
        <v>8.3447719049422989E+17</v>
      </c>
      <c r="BM20" s="4">
        <f t="shared" si="27"/>
        <v>8.3477006240379699E+17</v>
      </c>
      <c r="BN20" s="4">
        <f t="shared" si="28"/>
        <v>8.350493541057536E+17</v>
      </c>
      <c r="BO20" s="4">
        <f t="shared" si="29"/>
        <v>8.353148612574167E+17</v>
      </c>
      <c r="BP20" s="4">
        <f t="shared" si="30"/>
        <v>8.3556702172876326E+17</v>
      </c>
      <c r="BQ20" s="4">
        <f t="shared" si="31"/>
        <v>8.3580654542456064E+17</v>
      </c>
      <c r="BR20" s="4">
        <f t="shared" si="32"/>
        <v>8.3603422347055194E+17</v>
      </c>
      <c r="BS20" s="4">
        <f t="shared" si="33"/>
        <v>8.3625083151990797E+17</v>
      </c>
      <c r="BT20" s="4">
        <f t="shared" si="34"/>
        <v>8.3645708097495654E+17</v>
      </c>
      <c r="BU20" s="4">
        <f t="shared" si="35"/>
        <v>8.3665359524151885E+17</v>
      </c>
      <c r="BV20" s="4">
        <f t="shared" si="36"/>
        <v>8.3684089923982912E+17</v>
      </c>
      <c r="BW20" s="4">
        <f t="shared" si="37"/>
        <v>8.3701941711202419E+17</v>
      </c>
      <c r="BX20" s="4">
        <f t="shared" si="38"/>
        <v>8.3718947529141286E+17</v>
      </c>
      <c r="BY20" s="4">
        <f t="shared" si="39"/>
        <v>8.3735130988933824E+17</v>
      </c>
      <c r="BZ20" s="4">
        <f t="shared" si="40"/>
        <v>8.3750507726628659E+17</v>
      </c>
      <c r="CA20" s="4">
        <f t="shared" si="41"/>
        <v>8.3765086720676685E+17</v>
      </c>
      <c r="CB20" s="4">
        <f t="shared" si="3"/>
        <v>8.377887176286441E+17</v>
      </c>
      <c r="CC20" s="4">
        <f t="shared" si="4"/>
        <v>8.3791863007965158E+17</v>
      </c>
      <c r="CD20" s="4">
        <f t="shared" si="5"/>
        <v>8.3804058480755699E+17</v>
      </c>
      <c r="CE20" s="4">
        <f t="shared" si="6"/>
        <v>8.3815455448139226E+17</v>
      </c>
      <c r="CF20" s="4">
        <f t="shared" si="7"/>
        <v>8.3826051533250202E+17</v>
      </c>
      <c r="CG20" s="4">
        <f t="shared" si="8"/>
        <v>8.3835845499920653E+17</v>
      </c>
      <c r="CH20" s="4">
        <f t="shared" si="9"/>
        <v>8.3844837648891379E+17</v>
      </c>
      <c r="CI20" s="4">
        <f t="shared" si="10"/>
        <v>8.3853029855025357E+17</v>
      </c>
      <c r="CJ20" s="4">
        <f t="shared" si="11"/>
        <v>8.3860425305416768E+17</v>
      </c>
      <c r="CK20" s="4">
        <f t="shared" si="12"/>
        <v>8.3867028062998362E+17</v>
      </c>
      <c r="CL20" s="4">
        <f t="shared" si="13"/>
        <v>8.3872842562715558E+17</v>
      </c>
      <c r="CM20" s="4">
        <f t="shared" si="14"/>
        <v>8.3877873153405466E+17</v>
      </c>
      <c r="CN20" s="4">
        <f t="shared" si="15"/>
        <v>8.3882123741032115E+17</v>
      </c>
      <c r="CO20" s="4">
        <f t="shared" si="16"/>
        <v>8.3885597574986496E+17</v>
      </c>
      <c r="CP20" s="4">
        <f t="shared" si="17"/>
        <v>8.3888297163526259E+17</v>
      </c>
      <c r="CQ20" s="4">
        <f t="shared" si="18"/>
        <v>8.389022430127113E+17</v>
      </c>
      <c r="CR20" s="4">
        <f t="shared" si="19"/>
        <v>8.3891380154992819E+17</v>
      </c>
      <c r="CS20" s="4">
        <f t="shared" si="20"/>
        <v>8.3891765371330829E+17</v>
      </c>
      <c r="DN20" s="12"/>
      <c r="DO20" s="12"/>
      <c r="DP20" s="12"/>
      <c r="DQ20" s="12"/>
      <c r="DR20" s="12"/>
      <c r="DS20" s="12"/>
      <c r="DT20" s="12"/>
      <c r="DU20" s="12"/>
      <c r="DV20" s="12"/>
      <c r="DW20" s="12"/>
      <c r="DX20" s="12"/>
      <c r="DY20" s="12"/>
      <c r="DZ20" s="12"/>
      <c r="EA20" s="12"/>
      <c r="EB20" s="12"/>
      <c r="EC20" s="12"/>
      <c r="ED20" s="12"/>
      <c r="EE20" s="12"/>
      <c r="EF20" s="12"/>
      <c r="EG20" s="12"/>
      <c r="EH20" s="12"/>
      <c r="EI20" s="12"/>
    </row>
    <row r="21" spans="1:139" ht="15" customHeight="1">
      <c r="A21" s="21"/>
      <c r="B21" s="17"/>
      <c r="C21" s="17"/>
      <c r="D21" s="22">
        <v>1150</v>
      </c>
      <c r="E21" s="31">
        <v>17.993700703453715</v>
      </c>
      <c r="F21" s="31">
        <v>95.566618053195654</v>
      </c>
      <c r="H21" s="23">
        <v>0</v>
      </c>
      <c r="I21" s="23">
        <v>7.1250000000000008E-2</v>
      </c>
      <c r="J21" s="19">
        <v>7359512953276192</v>
      </c>
      <c r="K21" s="1" t="s">
        <v>153</v>
      </c>
      <c r="M21" s="131">
        <v>6.7500000000000004E-2</v>
      </c>
      <c r="N21" s="18">
        <v>7362404565361872</v>
      </c>
      <c r="O21" s="18">
        <v>7362764824751544</v>
      </c>
      <c r="P21" s="18">
        <v>7363761075363416</v>
      </c>
      <c r="Q21" s="18">
        <v>7365195632200496</v>
      </c>
      <c r="R21" s="18">
        <v>7366862344790072</v>
      </c>
      <c r="S21" s="18">
        <v>7368609392470776</v>
      </c>
      <c r="T21" s="18">
        <v>7370346474285944</v>
      </c>
      <c r="U21" s="18">
        <v>7372027661041456</v>
      </c>
      <c r="V21" s="18">
        <v>7373633243201408</v>
      </c>
      <c r="W21" s="18">
        <v>7375157379496704</v>
      </c>
      <c r="X21" s="18">
        <v>7376600996178560</v>
      </c>
      <c r="Y21" s="18">
        <v>7377968015553624</v>
      </c>
      <c r="Z21" s="18">
        <v>7379263445328104</v>
      </c>
      <c r="AA21" s="18">
        <v>7380492437043696</v>
      </c>
      <c r="AB21" s="18">
        <v>7381659837790888</v>
      </c>
      <c r="AC21" s="18">
        <v>7382769982628048</v>
      </c>
      <c r="AD21" s="18">
        <v>7383826609132992</v>
      </c>
      <c r="AE21" s="18">
        <v>7384832832298072</v>
      </c>
      <c r="AF21" s="18">
        <v>7385791156519872</v>
      </c>
      <c r="AG21" s="18">
        <v>7386703509982792</v>
      </c>
      <c r="AH21" s="18">
        <v>7387571298279432</v>
      </c>
      <c r="AI21" s="18">
        <v>7388395471054696</v>
      </c>
      <c r="AJ21" s="18">
        <v>7389176600244672</v>
      </c>
      <c r="AK21" s="18">
        <v>7389914963858424</v>
      </c>
      <c r="AL21" s="18">
        <v>7390610632619360</v>
      </c>
      <c r="AM21" s="18">
        <v>7391263552622384</v>
      </c>
      <c r="AN21" s="18">
        <v>7391873620221112</v>
      </c>
      <c r="AO21" s="18">
        <v>7392440742281704</v>
      </c>
      <c r="AP21" s="18">
        <v>7392964879019120</v>
      </c>
      <c r="AQ21" s="18">
        <v>7393446065941280</v>
      </c>
      <c r="AR21" s="18">
        <v>7393884417166072</v>
      </c>
      <c r="AS21" s="18">
        <v>7394280112673216</v>
      </c>
      <c r="AT21" s="18">
        <v>7394633376515408</v>
      </c>
      <c r="AU21" s="18">
        <v>7394944450991800</v>
      </c>
      <c r="AV21" s="18">
        <v>7395213573208528</v>
      </c>
      <c r="AW21" s="18">
        <v>7395440956445024</v>
      </c>
      <c r="AX21" s="18">
        <v>7395626779043568</v>
      </c>
      <c r="AY21" s="18">
        <v>7395771179653880</v>
      </c>
      <c r="AZ21" s="18">
        <v>7395874258480968</v>
      </c>
      <c r="BA21" s="18">
        <v>7395936081323528</v>
      </c>
      <c r="BB21" s="18">
        <v>7395956685037440</v>
      </c>
      <c r="BE21" s="4">
        <f t="shared" si="2"/>
        <v>8.3199148696843187E+17</v>
      </c>
      <c r="BF21" s="4">
        <f t="shared" si="2"/>
        <v>8.3205857885741875E+17</v>
      </c>
      <c r="BG21" s="4">
        <f t="shared" si="21"/>
        <v>8.322441262143913E+17</v>
      </c>
      <c r="BH21" s="4">
        <f t="shared" si="22"/>
        <v>8.3251134088687706E+17</v>
      </c>
      <c r="BI21" s="4">
        <f t="shared" si="23"/>
        <v>8.3282185058204838E+17</v>
      </c>
      <c r="BJ21" s="4">
        <f t="shared" si="24"/>
        <v>8.3314738607493235E+17</v>
      </c>
      <c r="BK21" s="4">
        <f t="shared" si="25"/>
        <v>8.3347112477455091E+17</v>
      </c>
      <c r="BL21" s="4">
        <f t="shared" si="26"/>
        <v>8.3378450350633408E+17</v>
      </c>
      <c r="BM21" s="4">
        <f t="shared" si="27"/>
        <v>8.3408384177769114E+17</v>
      </c>
      <c r="BN21" s="4">
        <f t="shared" si="28"/>
        <v>8.3436804305152666E+17</v>
      </c>
      <c r="BO21" s="4">
        <f t="shared" si="29"/>
        <v>8.3463727267632371E+17</v>
      </c>
      <c r="BP21" s="4">
        <f t="shared" si="30"/>
        <v>8.348922553754167E+17</v>
      </c>
      <c r="BQ21" s="4">
        <f t="shared" si="31"/>
        <v>8.3513391915752218E+17</v>
      </c>
      <c r="BR21" s="4">
        <f t="shared" si="32"/>
        <v>8.3536321970612237E+17</v>
      </c>
      <c r="BS21" s="4">
        <f t="shared" si="33"/>
        <v>8.3558105667185357E+17</v>
      </c>
      <c r="BT21" s="4">
        <f t="shared" si="34"/>
        <v>8.3578823483183642E+17</v>
      </c>
      <c r="BU21" s="4">
        <f t="shared" si="35"/>
        <v>8.359854480294144E+17</v>
      </c>
      <c r="BV21" s="4">
        <f t="shared" si="36"/>
        <v>8.3617327438033421E+17</v>
      </c>
      <c r="BW21" s="4">
        <f t="shared" si="37"/>
        <v>8.3635217841333466E+17</v>
      </c>
      <c r="BX21" s="4">
        <f t="shared" si="38"/>
        <v>8.3652251740422797E+17</v>
      </c>
      <c r="BY21" s="4">
        <f t="shared" si="39"/>
        <v>8.366845513153609E+17</v>
      </c>
      <c r="BZ21" s="4">
        <f t="shared" si="40"/>
        <v>8.3683845518095667E+17</v>
      </c>
      <c r="CA21" s="4">
        <f t="shared" si="41"/>
        <v>8.3698433367137318E+17</v>
      </c>
      <c r="CB21" s="4">
        <f t="shared" si="3"/>
        <v>8.3712223670560371E+17</v>
      </c>
      <c r="CC21" s="4">
        <f t="shared" si="4"/>
        <v>8.3725217560977062E+17</v>
      </c>
      <c r="CD21" s="4">
        <f t="shared" si="5"/>
        <v>8.373741385418743E+17</v>
      </c>
      <c r="CE21" s="4">
        <f t="shared" si="6"/>
        <v>8.3748810447366771E+17</v>
      </c>
      <c r="CF21" s="4">
        <f t="shared" si="7"/>
        <v>8.3759405444529229E+17</v>
      </c>
      <c r="CG21" s="4">
        <f t="shared" si="8"/>
        <v>8.3769197957008589E+17</v>
      </c>
      <c r="CH21" s="4">
        <f t="shared" si="9"/>
        <v>8.37781885138112E+17</v>
      </c>
      <c r="CI21" s="4">
        <f t="shared" si="10"/>
        <v>8.3786379123957926E+17</v>
      </c>
      <c r="CJ21" s="4">
        <f t="shared" si="11"/>
        <v>8.3793773038548019E+17</v>
      </c>
      <c r="CK21" s="4">
        <f t="shared" si="12"/>
        <v>8.3800374343725798E+17</v>
      </c>
      <c r="CL21" s="4">
        <f t="shared" si="13"/>
        <v>8.3806187478029312E+17</v>
      </c>
      <c r="CM21" s="4">
        <f t="shared" si="14"/>
        <v>8.3811216794210893E+17</v>
      </c>
      <c r="CN21" s="4">
        <f t="shared" si="15"/>
        <v>8.3815466210785677E+17</v>
      </c>
      <c r="CO21" s="4">
        <f t="shared" si="16"/>
        <v>8.3818939004147622E+17</v>
      </c>
      <c r="CP21" s="4">
        <f t="shared" si="17"/>
        <v>8.3821637719467955E+17</v>
      </c>
      <c r="CQ21" s="4">
        <f t="shared" si="18"/>
        <v>8.3823564193828762E+17</v>
      </c>
      <c r="CR21" s="4">
        <f t="shared" si="19"/>
        <v>8.3824719631561254E+17</v>
      </c>
      <c r="CS21" s="4">
        <f t="shared" si="20"/>
        <v>8.3825104706266982E+17</v>
      </c>
      <c r="DN21" s="12"/>
      <c r="DO21" s="12"/>
      <c r="DP21" s="12"/>
      <c r="DQ21" s="12"/>
      <c r="DR21" s="12"/>
      <c r="DS21" s="12"/>
      <c r="DT21" s="12"/>
      <c r="DU21" s="12"/>
      <c r="DV21" s="12"/>
      <c r="DW21" s="12"/>
      <c r="DX21" s="12"/>
      <c r="DY21" s="12"/>
      <c r="DZ21" s="12"/>
      <c r="EA21" s="12"/>
      <c r="EB21" s="12"/>
      <c r="EC21" s="12"/>
      <c r="ED21" s="12"/>
      <c r="EE21" s="12"/>
      <c r="EF21" s="12"/>
      <c r="EG21" s="12"/>
      <c r="EH21" s="12"/>
      <c r="EI21" s="12"/>
    </row>
    <row r="22" spans="1:139" ht="15" customHeight="1">
      <c r="A22" s="21"/>
      <c r="B22" s="17"/>
      <c r="C22" s="17"/>
      <c r="D22" s="22">
        <v>1200</v>
      </c>
      <c r="E22" s="31">
        <v>1.0020016067377218</v>
      </c>
      <c r="F22" s="31">
        <v>95.564060000528627</v>
      </c>
      <c r="H22" s="23">
        <v>0</v>
      </c>
      <c r="I22" s="23">
        <v>7.5000000000000011E-2</v>
      </c>
      <c r="J22" s="19">
        <v>7356611053875952</v>
      </c>
      <c r="K22" s="115"/>
      <c r="M22" s="131">
        <v>7.1250000000000008E-2</v>
      </c>
      <c r="N22" s="18">
        <v>7359512953276192</v>
      </c>
      <c r="O22" s="18">
        <v>7359904853504832</v>
      </c>
      <c r="P22" s="18">
        <v>7360981400131488</v>
      </c>
      <c r="Q22" s="18">
        <v>7362514828296840</v>
      </c>
      <c r="R22" s="18">
        <v>7364275266805512</v>
      </c>
      <c r="S22" s="18">
        <v>7366100578089968</v>
      </c>
      <c r="T22" s="18">
        <v>7367899180995704</v>
      </c>
      <c r="U22" s="18">
        <v>7369627485959840</v>
      </c>
      <c r="V22" s="18">
        <v>7371268828160464</v>
      </c>
      <c r="W22" s="18">
        <v>7372820064513160</v>
      </c>
      <c r="X22" s="18">
        <v>7374284253551864</v>
      </c>
      <c r="Y22" s="18">
        <v>7375666933580120</v>
      </c>
      <c r="Z22" s="18">
        <v>7376974322139552</v>
      </c>
      <c r="AA22" s="18">
        <v>7378212473907424</v>
      </c>
      <c r="AB22" s="18">
        <v>7379386911977016</v>
      </c>
      <c r="AC22" s="18">
        <v>7380502477923848</v>
      </c>
      <c r="AD22" s="18">
        <v>7381563290154552</v>
      </c>
      <c r="AE22" s="18">
        <v>7382572750100304</v>
      </c>
      <c r="AF22" s="18">
        <v>7383533578722336</v>
      </c>
      <c r="AG22" s="18">
        <v>7384447868427168</v>
      </c>
      <c r="AH22" s="18">
        <v>7385317150777032</v>
      </c>
      <c r="AI22" s="18">
        <v>7386142472851632</v>
      </c>
      <c r="AJ22" s="18">
        <v>7386924483326256</v>
      </c>
      <c r="AK22" s="18">
        <v>7387663521158008</v>
      </c>
      <c r="AL22" s="18">
        <v>7388359706186376</v>
      </c>
      <c r="AM22" s="18">
        <v>7389013023811312</v>
      </c>
      <c r="AN22" s="18">
        <v>7389623401673816</v>
      </c>
      <c r="AO22" s="18">
        <v>7390190770598560</v>
      </c>
      <c r="AP22" s="18">
        <v>7390715108524120</v>
      </c>
      <c r="AQ22" s="18">
        <v>7391196463061312</v>
      </c>
      <c r="AR22" s="18">
        <v>7391634956115752</v>
      </c>
      <c r="AS22" s="18">
        <v>7392030772068952</v>
      </c>
      <c r="AT22" s="18">
        <v>7392384137403080</v>
      </c>
      <c r="AU22" s="18">
        <v>7392695295676080</v>
      </c>
      <c r="AV22" s="18">
        <v>7392964485096192</v>
      </c>
      <c r="AW22" s="18">
        <v>7393191920159824</v>
      </c>
      <c r="AX22" s="18">
        <v>7393377780948064</v>
      </c>
      <c r="AY22" s="18">
        <v>7393522208088760</v>
      </c>
      <c r="AZ22" s="18">
        <v>7393625303954528</v>
      </c>
      <c r="BA22" s="18">
        <v>7393687136149928</v>
      </c>
      <c r="BB22" s="18">
        <v>7393707742848544</v>
      </c>
      <c r="BE22" s="4">
        <f t="shared" si="2"/>
        <v>8.3121419076463782E+17</v>
      </c>
      <c r="BF22" s="4">
        <f t="shared" si="2"/>
        <v>8.3128713181591142E+17</v>
      </c>
      <c r="BG22" s="4">
        <f t="shared" si="21"/>
        <v>8.3148751598722176E+17</v>
      </c>
      <c r="BH22" s="4">
        <f t="shared" si="22"/>
        <v>8.3177298209088614E+17</v>
      </c>
      <c r="BI22" s="4">
        <f t="shared" si="23"/>
        <v>8.3210076655563072E+17</v>
      </c>
      <c r="BJ22" s="4">
        <f t="shared" si="24"/>
        <v>8.3244069506876979E+17</v>
      </c>
      <c r="BK22" s="4">
        <f t="shared" si="25"/>
        <v>8.3277571447526157E+17</v>
      </c>
      <c r="BL22" s="4">
        <f t="shared" si="26"/>
        <v>8.330977003390473E+17</v>
      </c>
      <c r="BM22" s="4">
        <f t="shared" si="27"/>
        <v>8.3340353989721088E+17</v>
      </c>
      <c r="BN22" s="4">
        <f t="shared" si="28"/>
        <v>8.3369263881959488E+17</v>
      </c>
      <c r="BO22" s="4">
        <f t="shared" si="29"/>
        <v>8.3396555891297958E+17</v>
      </c>
      <c r="BP22" s="4">
        <f t="shared" si="30"/>
        <v>8.342233251284E+17</v>
      </c>
      <c r="BQ22" s="4">
        <f t="shared" si="31"/>
        <v>8.3446709009489421E+17</v>
      </c>
      <c r="BR22" s="4">
        <f t="shared" si="32"/>
        <v>8.3469797707315712E+17</v>
      </c>
      <c r="BS22" s="4">
        <f t="shared" si="33"/>
        <v>8.3491701107633971E+17</v>
      </c>
      <c r="BT22" s="4">
        <f t="shared" si="34"/>
        <v>8.3512509076341427E+17</v>
      </c>
      <c r="BU22" s="4">
        <f t="shared" si="35"/>
        <v>8.3532298052998349E+17</v>
      </c>
      <c r="BV22" s="4">
        <f t="shared" si="36"/>
        <v>8.3551131153679194E+17</v>
      </c>
      <c r="BW22" s="4">
        <f t="shared" si="37"/>
        <v>8.3569058840973158E+17</v>
      </c>
      <c r="BX22" s="4">
        <f t="shared" si="38"/>
        <v>8.3586119883239168E+17</v>
      </c>
      <c r="BY22" s="4">
        <f t="shared" si="39"/>
        <v>8.360234261029248E+17</v>
      </c>
      <c r="BZ22" s="4">
        <f t="shared" si="40"/>
        <v>8.3617746332174118E+17</v>
      </c>
      <c r="CA22" s="4">
        <f t="shared" si="41"/>
        <v>8.3632342940789158E+17</v>
      </c>
      <c r="CB22" s="4">
        <f t="shared" si="3"/>
        <v>8.3646138561643379E+17</v>
      </c>
      <c r="CC22" s="4">
        <f t="shared" si="4"/>
        <v>8.3659135242576205E+17</v>
      </c>
      <c r="CD22" s="4">
        <f t="shared" si="5"/>
        <v>8.3671332533023437E+17</v>
      </c>
      <c r="CE22" s="4">
        <f t="shared" si="6"/>
        <v>8.3682728914851021E+17</v>
      </c>
      <c r="CF22" s="4">
        <f t="shared" si="7"/>
        <v>8.3693322940008742E+17</v>
      </c>
      <c r="CG22" s="4">
        <f t="shared" si="8"/>
        <v>8.3703114050953254E+17</v>
      </c>
      <c r="CH22" s="4">
        <f t="shared" si="9"/>
        <v>8.3712103002204275E+17</v>
      </c>
      <c r="CI22" s="4">
        <f t="shared" si="10"/>
        <v>8.3720291946996416E+17</v>
      </c>
      <c r="CJ22" s="4">
        <f t="shared" si="11"/>
        <v>8.372768421679584E+17</v>
      </c>
      <c r="CK22" s="4">
        <f t="shared" si="12"/>
        <v>8.373428394086528E+17</v>
      </c>
      <c r="CL22" s="4">
        <f t="shared" si="13"/>
        <v>8.3740095578829581E+17</v>
      </c>
      <c r="CM22" s="4">
        <f t="shared" si="14"/>
        <v>8.3745123501661568E+17</v>
      </c>
      <c r="CN22" s="4">
        <f t="shared" si="15"/>
        <v>8.3749371648484774E+17</v>
      </c>
      <c r="CO22" s="4">
        <f t="shared" si="16"/>
        <v>8.3752843326399962E+17</v>
      </c>
      <c r="CP22" s="4">
        <f t="shared" si="17"/>
        <v>8.3755541116152602E+17</v>
      </c>
      <c r="CQ22" s="4">
        <f t="shared" si="18"/>
        <v>8.3757466894322304E+17</v>
      </c>
      <c r="CR22" s="4">
        <f t="shared" si="19"/>
        <v>8.3758621898323021E+17</v>
      </c>
      <c r="CS22" s="4">
        <f t="shared" si="20"/>
        <v>8.3759006826007181E+17</v>
      </c>
      <c r="DN22" s="12"/>
      <c r="DO22" s="12"/>
      <c r="DP22" s="12"/>
      <c r="DQ22" s="12"/>
      <c r="DR22" s="12"/>
      <c r="DS22" s="12"/>
      <c r="DT22" s="12"/>
      <c r="DU22" s="12"/>
      <c r="DV22" s="12"/>
      <c r="DW22" s="12"/>
      <c r="DX22" s="12"/>
      <c r="DY22" s="12"/>
      <c r="DZ22" s="12"/>
      <c r="EA22" s="12"/>
      <c r="EB22" s="12"/>
      <c r="EC22" s="12"/>
      <c r="ED22" s="12"/>
      <c r="EE22" s="12"/>
      <c r="EF22" s="12"/>
      <c r="EG22" s="12"/>
      <c r="EH22" s="12"/>
      <c r="EI22" s="12"/>
    </row>
    <row r="23" spans="1:139" ht="15" customHeight="1">
      <c r="A23" s="21"/>
      <c r="B23" s="17"/>
      <c r="C23" s="17"/>
      <c r="D23" s="22"/>
      <c r="E23" s="31"/>
      <c r="F23" s="31"/>
      <c r="H23" s="23">
        <v>0</v>
      </c>
      <c r="I23" s="23">
        <v>7.8750000000000014E-2</v>
      </c>
      <c r="J23" s="19">
        <v>7353699669292072</v>
      </c>
      <c r="K23" s="30" t="s">
        <v>176</v>
      </c>
      <c r="M23" s="131">
        <v>7.5000000000000011E-2</v>
      </c>
      <c r="N23" s="18">
        <v>7356611053875952</v>
      </c>
      <c r="O23" s="18">
        <v>7357038863379856</v>
      </c>
      <c r="P23" s="18">
        <v>7358205332634144</v>
      </c>
      <c r="Q23" s="18">
        <v>7359847080464480</v>
      </c>
      <c r="R23" s="18">
        <v>7361707730807216</v>
      </c>
      <c r="S23" s="18">
        <v>7363614893372480</v>
      </c>
      <c r="T23" s="18">
        <v>7365476699676432</v>
      </c>
      <c r="U23" s="18">
        <v>7367252756161112</v>
      </c>
      <c r="V23" s="18">
        <v>7368929970850584</v>
      </c>
      <c r="W23" s="18">
        <v>7370508182579600</v>
      </c>
      <c r="X23" s="18">
        <v>7371992725615384</v>
      </c>
      <c r="Y23" s="18">
        <v>7373390823117688</v>
      </c>
      <c r="Z23" s="18">
        <v>7374709934756120</v>
      </c>
      <c r="AA23" s="18">
        <v>7375957032273704</v>
      </c>
      <c r="AB23" s="18">
        <v>7377138320540544</v>
      </c>
      <c r="AC23" s="18">
        <v>7378259149116968</v>
      </c>
      <c r="AD23" s="18">
        <v>7379324017029648</v>
      </c>
      <c r="AE23" s="18">
        <v>7380336610628960</v>
      </c>
      <c r="AF23" s="18">
        <v>7381299865433976</v>
      </c>
      <c r="AG23" s="18">
        <v>7382216035324992</v>
      </c>
      <c r="AH23" s="18">
        <v>7383086774832792</v>
      </c>
      <c r="AI23" s="18">
        <v>7383913224985728</v>
      </c>
      <c r="AJ23" s="18">
        <v>7384696107686224</v>
      </c>
      <c r="AK23" s="18">
        <v>7385435819168248</v>
      </c>
      <c r="AL23" s="18">
        <v>7386132525022616</v>
      </c>
      <c r="AM23" s="18">
        <v>7386786246839728</v>
      </c>
      <c r="AN23" s="18">
        <v>7387396941130008</v>
      </c>
      <c r="AO23" s="18">
        <v>7387964560884272</v>
      </c>
      <c r="AP23" s="18">
        <v>7388489100895496</v>
      </c>
      <c r="AQ23" s="18">
        <v>7388970620679664</v>
      </c>
      <c r="AR23" s="18">
        <v>7389409250450080</v>
      </c>
      <c r="AS23" s="18">
        <v>7389805179802176</v>
      </c>
      <c r="AT23" s="18">
        <v>7390158638691512</v>
      </c>
      <c r="AU23" s="18">
        <v>7390469872821584</v>
      </c>
      <c r="AV23" s="18">
        <v>7390739122266192</v>
      </c>
      <c r="AW23" s="18">
        <v>7390966603144776</v>
      </c>
      <c r="AX23" s="18">
        <v>7391152497496656</v>
      </c>
      <c r="AY23" s="18">
        <v>7391296947851592</v>
      </c>
      <c r="AZ23" s="18">
        <v>7391400058624232</v>
      </c>
      <c r="BA23" s="18">
        <v>7391461898983336</v>
      </c>
      <c r="BB23" s="18">
        <v>7391482508302880</v>
      </c>
      <c r="BE23" s="4">
        <f t="shared" si="2"/>
        <v>8.3043552523895629E+17</v>
      </c>
      <c r="BF23" s="4">
        <f t="shared" si="2"/>
        <v>8.3051510237429619E+17</v>
      </c>
      <c r="BG23" s="4">
        <f t="shared" si="21"/>
        <v>8.3073209659458227E+17</v>
      </c>
      <c r="BH23" s="4">
        <f t="shared" si="22"/>
        <v>8.3103755106260198E+17</v>
      </c>
      <c r="BI23" s="4">
        <f t="shared" si="23"/>
        <v>8.313837980896247E+17</v>
      </c>
      <c r="BJ23" s="4">
        <f t="shared" si="24"/>
        <v>8.3173877196727322E+17</v>
      </c>
      <c r="BK23" s="4">
        <f t="shared" si="25"/>
        <v>8.3208537358235635E+17</v>
      </c>
      <c r="BL23" s="4">
        <f t="shared" si="26"/>
        <v>8.3241607587577434E+17</v>
      </c>
      <c r="BM23" s="4">
        <f t="shared" si="27"/>
        <v>8.3272843136519962E+17</v>
      </c>
      <c r="BN23" s="4">
        <f t="shared" si="28"/>
        <v>8.3302240014144077E+17</v>
      </c>
      <c r="BO23" s="4">
        <f t="shared" si="29"/>
        <v>8.3329896672485606E+17</v>
      </c>
      <c r="BP23" s="4">
        <f t="shared" si="30"/>
        <v>8.3355946878540275E+17</v>
      </c>
      <c r="BQ23" s="4">
        <f t="shared" si="31"/>
        <v>8.3380528934505523E+17</v>
      </c>
      <c r="BR23" s="4">
        <f t="shared" si="32"/>
        <v>8.3403772165973696E+17</v>
      </c>
      <c r="BS23" s="4">
        <f t="shared" si="33"/>
        <v>8.3425791705072205E+17</v>
      </c>
      <c r="BT23" s="4">
        <f t="shared" si="34"/>
        <v>8.3446686823621555E+17</v>
      </c>
      <c r="BU23" s="4">
        <f t="shared" si="35"/>
        <v>8.3466541005387392E+17</v>
      </c>
      <c r="BV23" s="4">
        <f t="shared" si="36"/>
        <v>8.3485422637317274E+17</v>
      </c>
      <c r="BW23" s="4">
        <f t="shared" si="37"/>
        <v>8.3503386150335078E+17</v>
      </c>
      <c r="BX23" s="4">
        <f t="shared" si="38"/>
        <v>8.3520473299344448E+17</v>
      </c>
      <c r="BY23" s="4">
        <f t="shared" si="39"/>
        <v>8.3536714689491418E+17</v>
      </c>
      <c r="BZ23" s="4">
        <f t="shared" si="40"/>
        <v>8.3552131370645043E+17</v>
      </c>
      <c r="CA23" s="4">
        <f t="shared" si="41"/>
        <v>8.3566736592662579E+17</v>
      </c>
      <c r="CB23" s="4">
        <f t="shared" si="3"/>
        <v>8.358053754503753E+17</v>
      </c>
      <c r="CC23" s="4">
        <f t="shared" si="4"/>
        <v>8.359353712713079E+17</v>
      </c>
      <c r="CD23" s="4">
        <f t="shared" si="5"/>
        <v>8.3605735563140698E+17</v>
      </c>
      <c r="CE23" s="4">
        <f t="shared" si="6"/>
        <v>8.361713187388823E+17</v>
      </c>
      <c r="CF23" s="4">
        <f t="shared" si="7"/>
        <v>8.3627725025330854E+17</v>
      </c>
      <c r="CG23" s="4">
        <f t="shared" si="8"/>
        <v>8.3637514774467354E+17</v>
      </c>
      <c r="CH23" s="4">
        <f t="shared" si="9"/>
        <v>8.3646502097395302E+17</v>
      </c>
      <c r="CI23" s="4">
        <f t="shared" si="10"/>
        <v>8.3654689301113114E+17</v>
      </c>
      <c r="CJ23" s="4">
        <f t="shared" si="11"/>
        <v>8.3662079812530854E+17</v>
      </c>
      <c r="CK23" s="4">
        <f t="shared" si="12"/>
        <v>8.3668677823477875E+17</v>
      </c>
      <c r="CL23" s="4">
        <f t="shared" si="13"/>
        <v>8.3674487831207782E+17</v>
      </c>
      <c r="CM23" s="4">
        <f t="shared" si="14"/>
        <v>8.3679514239159053E+17</v>
      </c>
      <c r="CN23" s="4">
        <f t="shared" si="15"/>
        <v>8.368376101463447E+17</v>
      </c>
      <c r="CO23" s="4">
        <f t="shared" si="16"/>
        <v>8.3687231499516096E+17</v>
      </c>
      <c r="CP23" s="4">
        <f t="shared" si="17"/>
        <v>8.3689928308671949E+17</v>
      </c>
      <c r="CQ23" s="4">
        <f t="shared" si="18"/>
        <v>8.369185335579927E+17</v>
      </c>
      <c r="CR23" s="4">
        <f t="shared" si="19"/>
        <v>8.3693007906852134E+17</v>
      </c>
      <c r="CS23" s="4">
        <f t="shared" si="20"/>
        <v>8.3693392681720397E+17</v>
      </c>
      <c r="DN23" s="12"/>
      <c r="DO23" s="12"/>
      <c r="DP23" s="12"/>
      <c r="DQ23" s="12"/>
      <c r="DR23" s="12"/>
      <c r="DS23" s="12"/>
      <c r="DT23" s="12"/>
      <c r="DU23" s="12"/>
      <c r="DV23" s="12"/>
      <c r="DW23" s="12"/>
      <c r="DX23" s="12"/>
      <c r="DY23" s="12"/>
      <c r="DZ23" s="12"/>
      <c r="EA23" s="12"/>
      <c r="EB23" s="12"/>
      <c r="EC23" s="12"/>
      <c r="ED23" s="12"/>
      <c r="EE23" s="12"/>
      <c r="EF23" s="12"/>
      <c r="EG23" s="12"/>
      <c r="EH23" s="12"/>
      <c r="EI23" s="12"/>
    </row>
    <row r="24" spans="1:139" ht="15" customHeight="1">
      <c r="A24" s="21"/>
      <c r="B24" s="17"/>
      <c r="C24" s="17"/>
      <c r="D24" s="22"/>
      <c r="E24" s="31"/>
      <c r="F24" s="31"/>
      <c r="H24" s="23">
        <v>0</v>
      </c>
      <c r="I24" s="23">
        <v>8.2500000000000018E-2</v>
      </c>
      <c r="J24" s="19">
        <v>7350771775269912</v>
      </c>
      <c r="K24" s="115"/>
      <c r="M24" s="131">
        <v>7.8750000000000014E-2</v>
      </c>
      <c r="N24" s="18">
        <v>7353699669292072</v>
      </c>
      <c r="O24" s="18">
        <v>7354168450620344</v>
      </c>
      <c r="P24" s="18">
        <v>7355436005160664</v>
      </c>
      <c r="Q24" s="18">
        <v>7357196600032032</v>
      </c>
      <c r="R24" s="18">
        <v>7359164330260552</v>
      </c>
      <c r="S24" s="18">
        <v>7361156920444400</v>
      </c>
      <c r="T24" s="18">
        <v>7363083475155288</v>
      </c>
      <c r="U24" s="18">
        <v>7364907771008120</v>
      </c>
      <c r="V24" s="18">
        <v>7366620851372200</v>
      </c>
      <c r="W24" s="18">
        <v>7368225823297904</v>
      </c>
      <c r="X24" s="18">
        <v>7369730435167760</v>
      </c>
      <c r="Y24" s="18">
        <v>7371143657687272</v>
      </c>
      <c r="Z24" s="18">
        <v>7372474220338736</v>
      </c>
      <c r="AA24" s="18">
        <v>7373730022220016</v>
      </c>
      <c r="AB24" s="18">
        <v>7374917953391992</v>
      </c>
      <c r="AC24" s="18">
        <v>7376043870970176</v>
      </c>
      <c r="AD24" s="18">
        <v>7377112653194984</v>
      </c>
      <c r="AE24" s="18">
        <v>7378128268763200</v>
      </c>
      <c r="AF24" s="18">
        <v>7379093865104424</v>
      </c>
      <c r="AG24" s="18">
        <v>7380011854204728</v>
      </c>
      <c r="AH24" s="18">
        <v>7380884010223240</v>
      </c>
      <c r="AI24" s="18">
        <v>7381711564287144</v>
      </c>
      <c r="AJ24" s="18">
        <v>7382495307856240</v>
      </c>
      <c r="AK24" s="18">
        <v>7383235690565928</v>
      </c>
      <c r="AL24" s="18">
        <v>7383932920343664</v>
      </c>
      <c r="AM24" s="18">
        <v>7384587051741888</v>
      </c>
      <c r="AN24" s="18">
        <v>7385198067722888</v>
      </c>
      <c r="AO24" s="18">
        <v>7385765941573576</v>
      </c>
      <c r="AP24" s="18">
        <v>7386290684079888</v>
      </c>
      <c r="AQ24" s="18">
        <v>7386772366390296</v>
      </c>
      <c r="AR24" s="18">
        <v>7387211127545856</v>
      </c>
      <c r="AS24" s="18">
        <v>7387607163093312</v>
      </c>
      <c r="AT24" s="18">
        <v>7387960707508976</v>
      </c>
      <c r="AU24" s="18">
        <v>7388272009466816</v>
      </c>
      <c r="AV24" s="18">
        <v>7388541311687032</v>
      </c>
      <c r="AW24" s="18">
        <v>7388768832276872</v>
      </c>
      <c r="AX24" s="18">
        <v>7388954755487160</v>
      </c>
      <c r="AY24" s="18">
        <v>7389099225647920</v>
      </c>
      <c r="AZ24" s="18">
        <v>7389202349132472</v>
      </c>
      <c r="BA24" s="18">
        <v>7389264196411104</v>
      </c>
      <c r="BB24" s="18">
        <v>7389284807978824</v>
      </c>
      <c r="BE24" s="4">
        <f t="shared" si="2"/>
        <v>8.2965564263646451E+17</v>
      </c>
      <c r="BF24" s="4">
        <f t="shared" si="2"/>
        <v>8.2974278898309862E+17</v>
      </c>
      <c r="BG24" s="4">
        <f t="shared" si="21"/>
        <v>8.299784489658665E+17</v>
      </c>
      <c r="BH24" s="4">
        <f t="shared" si="22"/>
        <v>8.3030582652296179E+17</v>
      </c>
      <c r="BI24" s="4">
        <f t="shared" si="23"/>
        <v>8.3067179320556813E+17</v>
      </c>
      <c r="BJ24" s="4">
        <f t="shared" si="24"/>
        <v>8.3104246186212557E+17</v>
      </c>
      <c r="BK24" s="4">
        <f t="shared" si="25"/>
        <v>8.3140092139567693E+17</v>
      </c>
      <c r="BL24" s="4">
        <f t="shared" si="26"/>
        <v>8.3174042238864166E+17</v>
      </c>
      <c r="BM24" s="4">
        <f t="shared" si="27"/>
        <v>8.3205928642374387E+17</v>
      </c>
      <c r="BN24" s="4">
        <f t="shared" si="28"/>
        <v>8.3235808062415373E+17</v>
      </c>
      <c r="BO24" s="4">
        <f t="shared" si="29"/>
        <v>8.326382374993408E+17</v>
      </c>
      <c r="BP24" s="4">
        <f t="shared" si="30"/>
        <v>8.3290141876580646E+17</v>
      </c>
      <c r="BQ24" s="4">
        <f t="shared" si="31"/>
        <v>8.3314924274779302E+17</v>
      </c>
      <c r="BR24" s="4">
        <f t="shared" si="32"/>
        <v>8.3338317443548339E+17</v>
      </c>
      <c r="BS24" s="4">
        <f t="shared" si="33"/>
        <v>8.3360449196501914E+17</v>
      </c>
      <c r="BT24" s="4">
        <f t="shared" si="34"/>
        <v>8.3381428193916864E+17</v>
      </c>
      <c r="BU24" s="4">
        <f t="shared" si="35"/>
        <v>8.3401344930575642E+17</v>
      </c>
      <c r="BV24" s="4">
        <f t="shared" si="36"/>
        <v>8.3420273011195354E+17</v>
      </c>
      <c r="BW24" s="4">
        <f t="shared" si="37"/>
        <v>8.3438270781853504E+17</v>
      </c>
      <c r="BX24" s="4">
        <f t="shared" si="38"/>
        <v>8.3455382918354355E+17</v>
      </c>
      <c r="BY24" s="4">
        <f t="shared" si="39"/>
        <v>8.347164223673353E+17</v>
      </c>
      <c r="BZ24" s="4">
        <f t="shared" si="40"/>
        <v>8.3487071453251046E+17</v>
      </c>
      <c r="CA24" s="4">
        <f t="shared" si="41"/>
        <v>8.3501685105984435E+17</v>
      </c>
      <c r="CB24" s="4">
        <f t="shared" si="3"/>
        <v>8.351549137511081E+17</v>
      </c>
      <c r="CC24" s="4">
        <f t="shared" si="4"/>
        <v>8.3528493946985677E+17</v>
      </c>
      <c r="CD24" s="4">
        <f t="shared" si="5"/>
        <v>8.3540693659673523E+17</v>
      </c>
      <c r="CE24" s="4">
        <f t="shared" si="6"/>
        <v>8.355209002729897E+17</v>
      </c>
      <c r="CF24" s="4">
        <f t="shared" si="7"/>
        <v>8.3562682394507149E+17</v>
      </c>
      <c r="CG24" s="4">
        <f t="shared" si="8"/>
        <v>8.3572470816432576E+17</v>
      </c>
      <c r="CH24" s="4">
        <f t="shared" si="9"/>
        <v>8.3581456485425754E+17</v>
      </c>
      <c r="CI24" s="4">
        <f t="shared" si="10"/>
        <v>8.3589641871788557E+17</v>
      </c>
      <c r="CJ24" s="4">
        <f t="shared" si="11"/>
        <v>8.3597030511536166E+17</v>
      </c>
      <c r="CK24" s="4">
        <f t="shared" si="12"/>
        <v>8.3603626678549018E+17</v>
      </c>
      <c r="CL24" s="4">
        <f t="shared" si="13"/>
        <v>8.3609434923073997E+17</v>
      </c>
      <c r="CM24" s="4">
        <f t="shared" si="14"/>
        <v>8.3614459695564352E+17</v>
      </c>
      <c r="CN24" s="4">
        <f t="shared" si="15"/>
        <v>8.3618704998292646E+17</v>
      </c>
      <c r="CO24" s="4">
        <f t="shared" si="16"/>
        <v>8.3622174212623834E+17</v>
      </c>
      <c r="CP24" s="4">
        <f t="shared" si="17"/>
        <v>8.3624869985625613E+17</v>
      </c>
      <c r="CQ24" s="4">
        <f t="shared" si="18"/>
        <v>8.3626794266525645E+17</v>
      </c>
      <c r="CR24" s="4">
        <f t="shared" si="19"/>
        <v>8.3627948344891456E+17</v>
      </c>
      <c r="CS24" s="4">
        <f t="shared" si="20"/>
        <v>8.3628332961148966E+17</v>
      </c>
      <c r="DN24" s="12"/>
      <c r="DO24" s="12"/>
      <c r="DP24" s="12"/>
      <c r="DQ24" s="12"/>
      <c r="DR24" s="12"/>
      <c r="DS24" s="12"/>
      <c r="DT24" s="12"/>
      <c r="DU24" s="12"/>
      <c r="DV24" s="12"/>
      <c r="DW24" s="12"/>
      <c r="DX24" s="12"/>
      <c r="DY24" s="12"/>
      <c r="DZ24" s="12"/>
      <c r="EA24" s="12"/>
      <c r="EB24" s="12"/>
      <c r="EC24" s="12"/>
      <c r="ED24" s="12"/>
      <c r="EE24" s="12"/>
      <c r="EF24" s="12"/>
      <c r="EG24" s="12"/>
      <c r="EH24" s="12"/>
      <c r="EI24" s="12"/>
    </row>
    <row r="25" spans="1:139" ht="15" customHeight="1">
      <c r="A25" s="21"/>
      <c r="B25" s="17"/>
      <c r="C25" s="17"/>
      <c r="D25" s="22"/>
      <c r="E25" s="31"/>
      <c r="F25" s="31"/>
      <c r="H25" s="23">
        <v>0</v>
      </c>
      <c r="I25" s="23">
        <v>8.6250000000000007E-2</v>
      </c>
      <c r="J25" s="19">
        <v>7347826663076056</v>
      </c>
      <c r="K25" s="15"/>
      <c r="M25" s="131">
        <v>8.2500000000000018E-2</v>
      </c>
      <c r="N25" s="18">
        <v>7350771775269912</v>
      </c>
      <c r="O25" s="18">
        <v>7351287572764384</v>
      </c>
      <c r="P25" s="18">
        <v>7352669207554296</v>
      </c>
      <c r="Q25" s="18">
        <v>7354560371929560</v>
      </c>
      <c r="R25" s="18">
        <v>7356642407492424</v>
      </c>
      <c r="S25" s="18">
        <v>7358723936297048</v>
      </c>
      <c r="T25" s="18">
        <v>7360716608210824</v>
      </c>
      <c r="U25" s="18">
        <v>7362589463920248</v>
      </c>
      <c r="V25" s="18">
        <v>7364338272968752</v>
      </c>
      <c r="W25" s="18">
        <v>7365969694169336</v>
      </c>
      <c r="X25" s="18">
        <v>7367494020618624</v>
      </c>
      <c r="Y25" s="18">
        <v>7368922025429512</v>
      </c>
      <c r="Z25" s="18">
        <v>7370263730372664</v>
      </c>
      <c r="AA25" s="18">
        <v>7371527968082568</v>
      </c>
      <c r="AB25" s="18">
        <v>7372722314805088</v>
      </c>
      <c r="AC25" s="18">
        <v>7373853132726112</v>
      </c>
      <c r="AD25" s="18">
        <v>7374925676746816</v>
      </c>
      <c r="AE25" s="18">
        <v>7375944194205120</v>
      </c>
      <c r="AF25" s="18">
        <v>7376912041211512</v>
      </c>
      <c r="AG25" s="18">
        <v>7377831783812216</v>
      </c>
      <c r="AH25" s="18">
        <v>7378705312162712</v>
      </c>
      <c r="AI25" s="18">
        <v>7379533943222832</v>
      </c>
      <c r="AJ25" s="18">
        <v>7380318534221464</v>
      </c>
      <c r="AK25" s="18">
        <v>7381059584066016</v>
      </c>
      <c r="AL25" s="18">
        <v>7381757339588208</v>
      </c>
      <c r="AM25" s="18">
        <v>7382411884914464</v>
      </c>
      <c r="AN25" s="18">
        <v>7383023227071488</v>
      </c>
      <c r="AO25" s="18">
        <v>7383591357657680</v>
      </c>
      <c r="AP25" s="18">
        <v>7384116302632376</v>
      </c>
      <c r="AQ25" s="18">
        <v>7384598144404264</v>
      </c>
      <c r="AR25" s="18">
        <v>7385037031400776</v>
      </c>
      <c r="AS25" s="18">
        <v>7385433165765984</v>
      </c>
      <c r="AT25" s="18">
        <v>7385786787581048</v>
      </c>
      <c r="AU25" s="18">
        <v>7386098149234880</v>
      </c>
      <c r="AV25" s="18">
        <v>7386367496919320</v>
      </c>
      <c r="AW25" s="18">
        <v>7386595051028624</v>
      </c>
      <c r="AX25" s="18">
        <v>7386780998333464</v>
      </c>
      <c r="AY25" s="18">
        <v>7386925484810336</v>
      </c>
      <c r="AZ25" s="18">
        <v>7387028618770232</v>
      </c>
      <c r="BA25" s="18">
        <v>7387090471673784</v>
      </c>
      <c r="BB25" s="18">
        <v>7387111085118024</v>
      </c>
      <c r="BE25" s="4">
        <f t="shared" si="2"/>
        <v>8.2887324083385792E+17</v>
      </c>
      <c r="BF25" s="4">
        <f t="shared" si="2"/>
        <v>8.2896907016292032E+17</v>
      </c>
      <c r="BG25" s="4">
        <f t="shared" si="21"/>
        <v>8.2922578829204723E+17</v>
      </c>
      <c r="BH25" s="4">
        <f t="shared" si="22"/>
        <v>8.295772423343584E+17</v>
      </c>
      <c r="BI25" s="4">
        <f t="shared" si="23"/>
        <v>8.2996425006223206E+17</v>
      </c>
      <c r="BJ25" s="4">
        <f t="shared" si="24"/>
        <v>8.303512496890519E+17</v>
      </c>
      <c r="BK25" s="4">
        <f t="shared" si="25"/>
        <v>8.3072180961692621E+17</v>
      </c>
      <c r="BL25" s="4">
        <f t="shared" si="26"/>
        <v>8.3107016028244621E+17</v>
      </c>
      <c r="BM25" s="4">
        <f t="shared" si="27"/>
        <v>8.3139550122071501E+17</v>
      </c>
      <c r="BN25" s="4">
        <f t="shared" si="28"/>
        <v>8.3169905860953779E+17</v>
      </c>
      <c r="BO25" s="4">
        <f t="shared" si="29"/>
        <v>8.3198273674076941E+17</v>
      </c>
      <c r="BP25" s="4">
        <f t="shared" si="30"/>
        <v>8.322485312349545E+17</v>
      </c>
      <c r="BQ25" s="4">
        <f t="shared" si="31"/>
        <v>8.324982996537984E+17</v>
      </c>
      <c r="BR25" s="4">
        <f t="shared" si="32"/>
        <v>8.3273367969556749E+17</v>
      </c>
      <c r="BS25" s="4">
        <f t="shared" si="33"/>
        <v>8.329560763681248E+17</v>
      </c>
      <c r="BT25" s="4">
        <f t="shared" si="34"/>
        <v>8.3316666960266355E+17</v>
      </c>
      <c r="BU25" s="4">
        <f t="shared" si="35"/>
        <v>8.3336643391289779E+17</v>
      </c>
      <c r="BV25" s="4">
        <f t="shared" si="36"/>
        <v>8.3355615678298918E+17</v>
      </c>
      <c r="BW25" s="4">
        <f t="shared" si="37"/>
        <v>8.3373646018608653E+17</v>
      </c>
      <c r="BX25" s="4">
        <f t="shared" si="38"/>
        <v>8.3390781930778893E+17</v>
      </c>
      <c r="BY25" s="4">
        <f t="shared" si="39"/>
        <v>8.34070583719728E+17</v>
      </c>
      <c r="BZ25" s="4">
        <f t="shared" si="40"/>
        <v>8.3422499643772019E+17</v>
      </c>
      <c r="CA25" s="4">
        <f t="shared" si="41"/>
        <v>8.3437121500651456E+17</v>
      </c>
      <c r="CB25" s="4">
        <f t="shared" si="3"/>
        <v>8.3450933035557005E+17</v>
      </c>
      <c r="CC25" s="4">
        <f t="shared" si="4"/>
        <v>8.3463938657089779E+17</v>
      </c>
      <c r="CD25" s="4">
        <f t="shared" si="5"/>
        <v>8.347613975340951E+17</v>
      </c>
      <c r="CE25" s="4">
        <f t="shared" si="6"/>
        <v>8.3487536286930701E+17</v>
      </c>
      <c r="CF25" s="4">
        <f t="shared" si="7"/>
        <v>8.349812794358999E+17</v>
      </c>
      <c r="CG25" s="4">
        <f t="shared" si="8"/>
        <v>8.3507915061060275E+17</v>
      </c>
      <c r="CH25" s="4">
        <f t="shared" si="9"/>
        <v>8.3516899040773363E+17</v>
      </c>
      <c r="CI25" s="4">
        <f t="shared" si="10"/>
        <v>8.3525082526578778E+17</v>
      </c>
      <c r="CJ25" s="4">
        <f t="shared" si="11"/>
        <v>8.353246917553289E+17</v>
      </c>
      <c r="CK25" s="4">
        <f t="shared" si="12"/>
        <v>8.3539063363705267E+17</v>
      </c>
      <c r="CL25" s="4">
        <f t="shared" si="13"/>
        <v>8.3544869708174976E+17</v>
      </c>
      <c r="CM25" s="4">
        <f t="shared" si="14"/>
        <v>8.3549892721763328E+17</v>
      </c>
      <c r="CN25" s="4">
        <f t="shared" si="15"/>
        <v>8.3554136447268454E+17</v>
      </c>
      <c r="CO25" s="4">
        <f t="shared" si="16"/>
        <v>8.3557604311258419E+17</v>
      </c>
      <c r="CP25" s="4">
        <f t="shared" si="17"/>
        <v>8.3560298990107648E+17</v>
      </c>
      <c r="CQ25" s="4">
        <f t="shared" si="18"/>
        <v>8.3562222468151987E+17</v>
      </c>
      <c r="CR25" s="4">
        <f t="shared" si="19"/>
        <v>8.3563376052748416E+17</v>
      </c>
      <c r="CS25" s="4">
        <f t="shared" si="20"/>
        <v>8.3563760504485363E+17</v>
      </c>
      <c r="DN25" s="12"/>
      <c r="DO25" s="12"/>
      <c r="DP25" s="12"/>
      <c r="DQ25" s="12"/>
      <c r="DR25" s="12"/>
      <c r="DS25" s="12"/>
      <c r="DT25" s="12"/>
      <c r="DU25" s="12"/>
      <c r="DV25" s="12"/>
      <c r="DW25" s="12"/>
      <c r="DX25" s="12"/>
      <c r="DY25" s="12"/>
      <c r="DZ25" s="12"/>
      <c r="EA25" s="12"/>
      <c r="EB25" s="12"/>
      <c r="EC25" s="12"/>
      <c r="ED25" s="12"/>
      <c r="EE25" s="12"/>
      <c r="EF25" s="12"/>
      <c r="EG25" s="12"/>
      <c r="EH25" s="12"/>
      <c r="EI25" s="12"/>
    </row>
    <row r="26" spans="1:139" ht="15" customHeight="1">
      <c r="A26" s="21"/>
      <c r="B26" s="17"/>
      <c r="C26" s="17"/>
      <c r="D26" s="22"/>
      <c r="E26" s="31"/>
      <c r="F26" s="31"/>
      <c r="H26" s="23">
        <v>0</v>
      </c>
      <c r="I26" s="23">
        <v>9.0000000000000011E-2</v>
      </c>
      <c r="J26" s="19">
        <v>7344856598758960</v>
      </c>
      <c r="K26" s="241"/>
      <c r="M26" s="131">
        <v>8.6250000000000007E-2</v>
      </c>
      <c r="N26" s="18">
        <v>7347826663076056</v>
      </c>
      <c r="O26" s="18">
        <v>7348396744762912</v>
      </c>
      <c r="P26" s="18">
        <v>7349907649530320</v>
      </c>
      <c r="Q26" s="18">
        <v>7351942420803224</v>
      </c>
      <c r="R26" s="18">
        <v>7354146300582024</v>
      </c>
      <c r="S26" s="18">
        <v>7356320147062096</v>
      </c>
      <c r="T26" s="18">
        <v>7358380085381928</v>
      </c>
      <c r="U26" s="18">
        <v>7360301631090280</v>
      </c>
      <c r="V26" s="18">
        <v>7362085890807488</v>
      </c>
      <c r="W26" s="18">
        <v>7363743349540768</v>
      </c>
      <c r="X26" s="18">
        <v>7365286965120488</v>
      </c>
      <c r="Y26" s="18">
        <v>7366729358284768</v>
      </c>
      <c r="Z26" s="18">
        <v>7368081859877976</v>
      </c>
      <c r="AA26" s="18">
        <v>7369354237611960</v>
      </c>
      <c r="AB26" s="18">
        <v>7370554752523928</v>
      </c>
      <c r="AC26" s="18">
        <v>7371690267117520</v>
      </c>
      <c r="AD26" s="18">
        <v>7372766409371872</v>
      </c>
      <c r="AE26" s="18">
        <v>7373787700299696</v>
      </c>
      <c r="AF26" s="18">
        <v>7374757700991792</v>
      </c>
      <c r="AG26" s="18">
        <v>7375679126726800</v>
      </c>
      <c r="AH26" s="18">
        <v>7376553979824672</v>
      </c>
      <c r="AI26" s="18">
        <v>7377383658306808</v>
      </c>
      <c r="AJ26" s="18">
        <v>7378169081337248</v>
      </c>
      <c r="AK26" s="18">
        <v>7378910792634080</v>
      </c>
      <c r="AL26" s="18">
        <v>7379609074542872</v>
      </c>
      <c r="AM26" s="18">
        <v>7380264037147080</v>
      </c>
      <c r="AN26" s="18">
        <v>7380875709233888</v>
      </c>
      <c r="AO26" s="18">
        <v>7381444098554928</v>
      </c>
      <c r="AP26" s="18">
        <v>7381969245521424</v>
      </c>
      <c r="AQ26" s="18">
        <v>7382451243284952</v>
      </c>
      <c r="AR26" s="18">
        <v>7382890250316176</v>
      </c>
      <c r="AS26" s="18">
        <v>7383286475870904</v>
      </c>
      <c r="AT26" s="18">
        <v>7383640166813504</v>
      </c>
      <c r="AU26" s="18">
        <v>7383951579869784</v>
      </c>
      <c r="AV26" s="18">
        <v>7384220965620792</v>
      </c>
      <c r="AW26" s="18">
        <v>7384448546936480</v>
      </c>
      <c r="AX26" s="18">
        <v>7384634513512936</v>
      </c>
      <c r="AY26" s="18">
        <v>7384779012721216</v>
      </c>
      <c r="AZ26" s="18">
        <v>7384882154889160</v>
      </c>
      <c r="BA26" s="18">
        <v>7384944012064344</v>
      </c>
      <c r="BB26" s="18">
        <v>7384964627025240</v>
      </c>
      <c r="BE26" s="4">
        <f t="shared" si="2"/>
        <v>8.2808819346450061E+17</v>
      </c>
      <c r="BF26" s="4">
        <f t="shared" si="2"/>
        <v>8.281940447107785E+17</v>
      </c>
      <c r="BG26" s="4">
        <f t="shared" si="21"/>
        <v>8.2847461670158323E+17</v>
      </c>
      <c r="BH26" s="4">
        <f t="shared" si="22"/>
        <v>8.288525413043616E+17</v>
      </c>
      <c r="BI26" s="4">
        <f t="shared" si="23"/>
        <v>8.2926196774577638E+17</v>
      </c>
      <c r="BJ26" s="4">
        <f t="shared" si="24"/>
        <v>8.2966590925293811E+17</v>
      </c>
      <c r="BK26" s="4">
        <f t="shared" si="25"/>
        <v>8.3004877109838016E+17</v>
      </c>
      <c r="BL26" s="4">
        <f t="shared" si="26"/>
        <v>8.3040598715846106E+17</v>
      </c>
      <c r="BM26" s="4">
        <f t="shared" si="27"/>
        <v>8.3073774736862912E+17</v>
      </c>
      <c r="BN26" s="4">
        <f t="shared" si="28"/>
        <v>8.3104598721515686E+17</v>
      </c>
      <c r="BO26" s="4">
        <f t="shared" si="29"/>
        <v>8.3133310456885107E+17</v>
      </c>
      <c r="BP26" s="4">
        <f t="shared" si="30"/>
        <v>8.3160143700883712E+17</v>
      </c>
      <c r="BQ26" s="4">
        <f t="shared" si="31"/>
        <v>8.3185308420930995E+17</v>
      </c>
      <c r="BR26" s="4">
        <f t="shared" si="32"/>
        <v>8.3208985668871424E+17</v>
      </c>
      <c r="BS26" s="4">
        <f t="shared" si="33"/>
        <v>8.3231328594145805E+17</v>
      </c>
      <c r="BT26" s="4">
        <f t="shared" si="34"/>
        <v>8.3252464425158643E+17</v>
      </c>
      <c r="BU26" s="4">
        <f t="shared" si="35"/>
        <v>8.3272497496488947E+17</v>
      </c>
      <c r="BV26" s="4">
        <f t="shared" si="36"/>
        <v>8.3291511602917581E+17</v>
      </c>
      <c r="BW26" s="4">
        <f t="shared" si="37"/>
        <v>8.3309572720483981E+17</v>
      </c>
      <c r="BX26" s="4">
        <f t="shared" si="38"/>
        <v>8.332673111796969E+17</v>
      </c>
      <c r="BY26" s="4">
        <f t="shared" si="39"/>
        <v>8.334302382032791E+17</v>
      </c>
      <c r="BZ26" s="4">
        <f t="shared" si="40"/>
        <v>8.3358476624142886E+17</v>
      </c>
      <c r="CA26" s="4">
        <f t="shared" si="41"/>
        <v>8.3373106427745037E+17</v>
      </c>
      <c r="CB26" s="4">
        <f t="shared" si="3"/>
        <v>8.3386923152886118E+17</v>
      </c>
      <c r="CC26" s="4">
        <f t="shared" si="4"/>
        <v>8.3399931866555226E+17</v>
      </c>
      <c r="CD26" s="4">
        <f t="shared" si="5"/>
        <v>8.3412134439077568E+17</v>
      </c>
      <c r="CE26" s="4">
        <f t="shared" si="6"/>
        <v>8.3423531237774106E+17</v>
      </c>
      <c r="CF26" s="4">
        <f t="shared" si="7"/>
        <v>8.3434122249302541E+17</v>
      </c>
      <c r="CG26" s="4">
        <f t="shared" si="8"/>
        <v>8.3443908080131059E+17</v>
      </c>
      <c r="CH26" s="4">
        <f t="shared" si="9"/>
        <v>8.3452890330911654E+17</v>
      </c>
      <c r="CI26" s="4">
        <f t="shared" si="10"/>
        <v>8.3461071831103014E+17</v>
      </c>
      <c r="CJ26" s="4">
        <f t="shared" si="11"/>
        <v>8.3468456368269811E+17</v>
      </c>
      <c r="CK26" s="4">
        <f t="shared" si="12"/>
        <v>8.3475048442536845E+17</v>
      </c>
      <c r="CL26" s="4">
        <f t="shared" si="13"/>
        <v>8.3480852749351629E+17</v>
      </c>
      <c r="CM26" s="4">
        <f t="shared" si="14"/>
        <v>8.3485873880955917E+17</v>
      </c>
      <c r="CN26" s="4">
        <f t="shared" si="15"/>
        <v>8.349011592416247E+17</v>
      </c>
      <c r="CO26" s="4">
        <f t="shared" si="16"/>
        <v>8.3493582358267635E+17</v>
      </c>
      <c r="CP26" s="4">
        <f t="shared" si="17"/>
        <v>8.3496275884236403E+17</v>
      </c>
      <c r="CQ26" s="4">
        <f t="shared" si="18"/>
        <v>8.3498198522959539E+17</v>
      </c>
      <c r="CR26" s="4">
        <f t="shared" si="19"/>
        <v>8.3499351592050099E+17</v>
      </c>
      <c r="CS26" s="4">
        <f t="shared" si="20"/>
        <v>8.3499735873721306E+17</v>
      </c>
      <c r="DN26" s="12"/>
      <c r="DO26" s="12"/>
      <c r="DP26" s="12"/>
      <c r="DQ26" s="12"/>
      <c r="DR26" s="12"/>
      <c r="DS26" s="12"/>
      <c r="DT26" s="12"/>
      <c r="DU26" s="12"/>
      <c r="DV26" s="12"/>
      <c r="DW26" s="12"/>
      <c r="DX26" s="12"/>
      <c r="DY26" s="12"/>
      <c r="DZ26" s="12"/>
      <c r="EA26" s="12"/>
      <c r="EB26" s="12"/>
      <c r="EC26" s="12"/>
      <c r="ED26" s="12"/>
      <c r="EE26" s="12"/>
      <c r="EF26" s="12"/>
      <c r="EG26" s="12"/>
      <c r="EH26" s="12"/>
      <c r="EI26" s="12"/>
    </row>
    <row r="27" spans="1:139" ht="15" customHeight="1">
      <c r="A27" s="21"/>
      <c r="B27" s="17"/>
      <c r="C27" s="17"/>
      <c r="D27" s="22"/>
      <c r="E27" s="31"/>
      <c r="F27" s="31"/>
      <c r="H27" s="23">
        <v>0</v>
      </c>
      <c r="I27" s="23">
        <v>9.3750000000000014E-2</v>
      </c>
      <c r="J27" s="19">
        <v>7341859044739032</v>
      </c>
      <c r="K27" s="241"/>
      <c r="M27" s="131">
        <v>9.0000000000000011E-2</v>
      </c>
      <c r="N27" s="18">
        <v>7344856598758960</v>
      </c>
      <c r="O27" s="18">
        <v>7345489771961968</v>
      </c>
      <c r="P27" s="18">
        <v>7347147776125656</v>
      </c>
      <c r="Q27" s="18">
        <v>7349340625154272</v>
      </c>
      <c r="R27" s="18">
        <v>7351674132450800</v>
      </c>
      <c r="S27" s="18">
        <v>7353943463103968</v>
      </c>
      <c r="T27" s="18">
        <v>7356071550104792</v>
      </c>
      <c r="U27" s="18">
        <v>7358041702118632</v>
      </c>
      <c r="V27" s="18">
        <v>7359860983217576</v>
      </c>
      <c r="W27" s="18">
        <v>7361543962380792</v>
      </c>
      <c r="X27" s="18">
        <v>7363106368892560</v>
      </c>
      <c r="Y27" s="18">
        <v>7364562704653744</v>
      </c>
      <c r="Z27" s="18">
        <v>7365925620405824</v>
      </c>
      <c r="AA27" s="18">
        <v>7367205815176712</v>
      </c>
      <c r="AB27" s="18">
        <v>7368412231199088</v>
      </c>
      <c r="AC27" s="18">
        <v>7369552223955976</v>
      </c>
      <c r="AD27" s="18">
        <v>7370631790119576</v>
      </c>
      <c r="AE27" s="18">
        <v>7371655717934112</v>
      </c>
      <c r="AF27" s="18">
        <v>7372627769493344</v>
      </c>
      <c r="AG27" s="18">
        <v>7373550803525984</v>
      </c>
      <c r="AH27" s="18">
        <v>7374426930642608</v>
      </c>
      <c r="AI27" s="18">
        <v>7375257624499168</v>
      </c>
      <c r="AJ27" s="18">
        <v>7376043862448304</v>
      </c>
      <c r="AK27" s="18">
        <v>7376786228091096</v>
      </c>
      <c r="AL27" s="18">
        <v>7377485036052952</v>
      </c>
      <c r="AM27" s="18">
        <v>7378140418407440</v>
      </c>
      <c r="AN27" s="18">
        <v>7378752423583912</v>
      </c>
      <c r="AO27" s="18">
        <v>7379321073050656</v>
      </c>
      <c r="AP27" s="18">
        <v>7379846421146736</v>
      </c>
      <c r="AQ27" s="18">
        <v>7380328571017784</v>
      </c>
      <c r="AR27" s="18">
        <v>7380767692031608</v>
      </c>
      <c r="AS27" s="18">
        <v>7381164000862704</v>
      </c>
      <c r="AT27" s="18">
        <v>7381517752522112</v>
      </c>
      <c r="AU27" s="18">
        <v>7381829208497504</v>
      </c>
      <c r="AV27" s="18">
        <v>7382098624849912</v>
      </c>
      <c r="AW27" s="18">
        <v>7382326226926160</v>
      </c>
      <c r="AX27" s="18">
        <v>7382512207923608</v>
      </c>
      <c r="AY27" s="18">
        <v>7382656716180080</v>
      </c>
      <c r="AZ27" s="18">
        <v>7382759864290544</v>
      </c>
      <c r="BA27" s="18">
        <v>7382821724316856</v>
      </c>
      <c r="BB27" s="18">
        <v>7382842340467984</v>
      </c>
      <c r="BE27" s="4">
        <f t="shared" si="2"/>
        <v>8.2729907089587123E+17</v>
      </c>
      <c r="BF27" s="4">
        <f t="shared" si="2"/>
        <v>8.2741656608405645E+17</v>
      </c>
      <c r="BG27" s="4">
        <f t="shared" si="21"/>
        <v>8.2772427239727206E+17</v>
      </c>
      <c r="BH27" s="4">
        <f t="shared" si="22"/>
        <v>8.2813132354356301E+17</v>
      </c>
      <c r="BI27" s="4">
        <f t="shared" si="23"/>
        <v>8.2856458947507034E+17</v>
      </c>
      <c r="BJ27" s="4">
        <f t="shared" si="24"/>
        <v>8.289860433352727E+17</v>
      </c>
      <c r="BK27" s="4">
        <f t="shared" si="25"/>
        <v>8.293813587230729E+17</v>
      </c>
      <c r="BL27" s="4">
        <f t="shared" si="26"/>
        <v>8.297474161268329E+17</v>
      </c>
      <c r="BM27" s="4">
        <f t="shared" si="27"/>
        <v>8.3008550991962394E+17</v>
      </c>
      <c r="BN27" s="4">
        <f t="shared" si="28"/>
        <v>8.3039833198647565E+17</v>
      </c>
      <c r="BO27" s="4">
        <f t="shared" si="29"/>
        <v>8.3068879307563469E+17</v>
      </c>
      <c r="BP27" s="4">
        <f t="shared" si="30"/>
        <v>8.3095957860081216E+17</v>
      </c>
      <c r="BQ27" s="4">
        <f t="shared" si="31"/>
        <v>8.3121303211426368E+17</v>
      </c>
      <c r="BR27" s="4">
        <f t="shared" si="32"/>
        <v>8.3145113608284698E+17</v>
      </c>
      <c r="BS27" s="4">
        <f t="shared" si="33"/>
        <v>8.3167554769483597E+17</v>
      </c>
      <c r="BT27" s="4">
        <f t="shared" si="34"/>
        <v>8.3188763013305549E+17</v>
      </c>
      <c r="BU27" s="4">
        <f t="shared" si="35"/>
        <v>8.3208849469412083E+17</v>
      </c>
      <c r="BV27" s="4">
        <f t="shared" si="36"/>
        <v>8.3227902854327923E+17</v>
      </c>
      <c r="BW27" s="4">
        <f t="shared" si="37"/>
        <v>8.3245992845294733E+17</v>
      </c>
      <c r="BX27" s="4">
        <f t="shared" si="38"/>
        <v>8.3263172351179379E+17</v>
      </c>
      <c r="BY27" s="4">
        <f t="shared" si="39"/>
        <v>8.3279480390733568E+17</v>
      </c>
      <c r="BZ27" s="4">
        <f t="shared" si="40"/>
        <v>8.3294944153165555E+17</v>
      </c>
      <c r="CA27" s="4">
        <f t="shared" si="41"/>
        <v>8.3309581609866048E+17</v>
      </c>
      <c r="CB27" s="4">
        <f t="shared" si="3"/>
        <v>8.3323403418883558E+17</v>
      </c>
      <c r="CC27" s="4">
        <f t="shared" si="4"/>
        <v>8.333641524475415E+17</v>
      </c>
      <c r="CD27" s="4">
        <f t="shared" si="5"/>
        <v>8.3348619365631731E+17</v>
      </c>
      <c r="CE27" s="4">
        <f t="shared" si="6"/>
        <v>8.3360016513887846E+17</v>
      </c>
      <c r="CF27" s="4">
        <f t="shared" si="7"/>
        <v>8.3370606931213594E+17</v>
      </c>
      <c r="CG27" s="4">
        <f t="shared" si="8"/>
        <v>8.3380391482830195E+17</v>
      </c>
      <c r="CH27" s="4">
        <f t="shared" si="9"/>
        <v>8.3389371954453619E+17</v>
      </c>
      <c r="CI27" s="4">
        <f t="shared" si="10"/>
        <v>8.33975513768656E+17</v>
      </c>
      <c r="CJ27" s="4">
        <f t="shared" si="11"/>
        <v>8.3404933673727309E+17</v>
      </c>
      <c r="CK27" s="4">
        <f t="shared" si="12"/>
        <v>8.3411523494498701E+17</v>
      </c>
      <c r="CL27" s="4">
        <f t="shared" si="13"/>
        <v>8.3417325620843878E+17</v>
      </c>
      <c r="CM27" s="4">
        <f t="shared" si="14"/>
        <v>8.3422344744676864E+17</v>
      </c>
      <c r="CN27" s="4">
        <f t="shared" si="15"/>
        <v>8.3426584996814502E+17</v>
      </c>
      <c r="CO27" s="4">
        <f t="shared" si="16"/>
        <v>8.3430049919966822E+17</v>
      </c>
      <c r="CP27" s="4">
        <f t="shared" si="17"/>
        <v>8.3432742231703002E+17</v>
      </c>
      <c r="CQ27" s="4">
        <f t="shared" si="18"/>
        <v>8.343466399410071E+17</v>
      </c>
      <c r="CR27" s="4">
        <f t="shared" si="19"/>
        <v>8.3435816524353498E+17</v>
      </c>
      <c r="CS27" s="4">
        <f t="shared" si="20"/>
        <v>8.3436200630919846E+17</v>
      </c>
      <c r="DN27" s="12"/>
      <c r="DO27" s="12"/>
      <c r="DP27" s="12"/>
      <c r="DQ27" s="12"/>
      <c r="DR27" s="12"/>
      <c r="DS27" s="12"/>
      <c r="DT27" s="12"/>
      <c r="DU27" s="12"/>
      <c r="DV27" s="12"/>
      <c r="DW27" s="12"/>
      <c r="DX27" s="12"/>
      <c r="DY27" s="12"/>
      <c r="DZ27" s="12"/>
      <c r="EA27" s="12"/>
      <c r="EB27" s="12"/>
      <c r="EC27" s="12"/>
      <c r="ED27" s="12"/>
      <c r="EE27" s="12"/>
      <c r="EF27" s="12"/>
      <c r="EG27" s="12"/>
      <c r="EH27" s="12"/>
      <c r="EI27" s="12"/>
    </row>
    <row r="28" spans="1:139" ht="15" customHeight="1">
      <c r="A28" s="21"/>
      <c r="B28" s="17"/>
      <c r="C28" s="17"/>
      <c r="D28" s="22"/>
      <c r="E28" s="31"/>
      <c r="F28" s="31"/>
      <c r="H28" s="23">
        <v>0</v>
      </c>
      <c r="I28" s="23">
        <v>9.7500000000000017E-2</v>
      </c>
      <c r="J28" s="19">
        <v>7338824857164048</v>
      </c>
      <c r="K28" s="241"/>
      <c r="M28" s="131">
        <v>9.3750000000000014E-2</v>
      </c>
      <c r="N28" s="18">
        <v>7341859044739032</v>
      </c>
      <c r="O28" s="18">
        <v>7342566071167752</v>
      </c>
      <c r="P28" s="18">
        <v>7344392191083912</v>
      </c>
      <c r="Q28" s="18">
        <v>7346759130734304</v>
      </c>
      <c r="R28" s="18">
        <v>7349230191784008</v>
      </c>
      <c r="S28" s="18">
        <v>7351597864304544</v>
      </c>
      <c r="T28" s="18">
        <v>7353794664390880</v>
      </c>
      <c r="U28" s="18">
        <v>7355813101347288</v>
      </c>
      <c r="V28" s="18">
        <v>7357666813697552</v>
      </c>
      <c r="W28" s="18">
        <v>7359374686644816</v>
      </c>
      <c r="X28" s="18">
        <v>7360955311969160</v>
      </c>
      <c r="Y28" s="18">
        <v>7362425092214680</v>
      </c>
      <c r="Z28" s="18">
        <v>7363798002973528</v>
      </c>
      <c r="AA28" s="18">
        <v>7365085664633776</v>
      </c>
      <c r="AB28" s="18">
        <v>7366297695265536</v>
      </c>
      <c r="AC28" s="18">
        <v>7367441932902608</v>
      </c>
      <c r="AD28" s="18">
        <v>7368524738136576</v>
      </c>
      <c r="AE28" s="18">
        <v>7369551158154976</v>
      </c>
      <c r="AF28" s="18">
        <v>7370525152140576</v>
      </c>
      <c r="AG28" s="18">
        <v>7371449715232288</v>
      </c>
      <c r="AH28" s="18">
        <v>7372327062695096</v>
      </c>
      <c r="AI28" s="18">
        <v>7373158737478240</v>
      </c>
      <c r="AJ28" s="18">
        <v>7373945771697392</v>
      </c>
      <c r="AK28" s="18">
        <v>7374688783217456</v>
      </c>
      <c r="AL28" s="18">
        <v>7375388116066208</v>
      </c>
      <c r="AM28" s="18">
        <v>7376043919789344</v>
      </c>
      <c r="AN28" s="18">
        <v>7376656260705376</v>
      </c>
      <c r="AO28" s="18">
        <v>7377225171107320</v>
      </c>
      <c r="AP28" s="18">
        <v>7377750719104416</v>
      </c>
      <c r="AQ28" s="18">
        <v>7378233016702776</v>
      </c>
      <c r="AR28" s="18">
        <v>7378672245381368</v>
      </c>
      <c r="AS28" s="18">
        <v>7379068629195248</v>
      </c>
      <c r="AT28" s="18">
        <v>7379422433002088</v>
      </c>
      <c r="AU28" s="18">
        <v>7379733923144688</v>
      </c>
      <c r="AV28" s="18">
        <v>7380003362566768</v>
      </c>
      <c r="AW28" s="18">
        <v>7380230978772696</v>
      </c>
      <c r="AX28" s="18">
        <v>7380416969335544</v>
      </c>
      <c r="AY28" s="18">
        <v>7380561482824560</v>
      </c>
      <c r="AZ28" s="18">
        <v>7380664634646216</v>
      </c>
      <c r="BA28" s="18">
        <v>7380726496006768</v>
      </c>
      <c r="BB28" s="18">
        <v>7380747113087496</v>
      </c>
      <c r="BE28" s="4">
        <f t="shared" si="2"/>
        <v>8.2650541064322458E+17</v>
      </c>
      <c r="BF28" s="4">
        <f t="shared" si="2"/>
        <v>8.2663653120495616E+17</v>
      </c>
      <c r="BG28" s="4">
        <f t="shared" si="21"/>
        <v>8.2697523754162099E+17</v>
      </c>
      <c r="BH28" s="4">
        <f t="shared" si="22"/>
        <v>8.2741435292462362E+17</v>
      </c>
      <c r="BI28" s="4">
        <f t="shared" si="23"/>
        <v>8.278729036022665E+17</v>
      </c>
      <c r="BJ28" s="4">
        <f t="shared" si="24"/>
        <v>8.2831238235563174E+17</v>
      </c>
      <c r="BK28" s="4">
        <f t="shared" si="25"/>
        <v>8.2872024391585062E+17</v>
      </c>
      <c r="BL28" s="4">
        <f t="shared" si="26"/>
        <v>8.2909507472914214E+17</v>
      </c>
      <c r="BM28" s="4">
        <f t="shared" si="27"/>
        <v>8.2943938685030579E+17</v>
      </c>
      <c r="BN28" s="4">
        <f t="shared" si="28"/>
        <v>8.2975667085298419E+17</v>
      </c>
      <c r="BO28" s="4">
        <f t="shared" si="29"/>
        <v>8.3005036672945293E+17</v>
      </c>
      <c r="BP28" s="4">
        <f t="shared" si="30"/>
        <v>8.303235109904457E+17</v>
      </c>
      <c r="BQ28" s="4">
        <f t="shared" si="31"/>
        <v>8.3057869174337651E+17</v>
      </c>
      <c r="BR28" s="4">
        <f t="shared" si="32"/>
        <v>8.3081806138525875E+17</v>
      </c>
      <c r="BS28" s="4">
        <f t="shared" si="33"/>
        <v>8.3104340168169869E+17</v>
      </c>
      <c r="BT28" s="4">
        <f t="shared" si="34"/>
        <v>8.312561646897321E+17</v>
      </c>
      <c r="BU28" s="4">
        <f t="shared" si="35"/>
        <v>8.3145752870592346E+17</v>
      </c>
      <c r="BV28" s="4">
        <f t="shared" si="36"/>
        <v>8.3164842852653773E+17</v>
      </c>
      <c r="BW28" s="4">
        <f t="shared" si="37"/>
        <v>8.3182959717448115E+17</v>
      </c>
      <c r="BX28" s="4">
        <f t="shared" si="38"/>
        <v>8.32001588806208E+17</v>
      </c>
      <c r="BY28" s="4">
        <f t="shared" si="39"/>
        <v>8.3216481285301875E+17</v>
      </c>
      <c r="BZ28" s="4">
        <f t="shared" si="40"/>
        <v>8.3231955394119424E+17</v>
      </c>
      <c r="CA28" s="4">
        <f t="shared" si="41"/>
        <v>8.3246600186828595E+17</v>
      </c>
      <c r="CB28" s="4">
        <f t="shared" si="3"/>
        <v>8.3260426952553267E+17</v>
      </c>
      <c r="CC28" s="4">
        <f t="shared" si="4"/>
        <v>8.3273441899271834E+17</v>
      </c>
      <c r="CD28" s="4">
        <f t="shared" si="5"/>
        <v>8.3285647628494272E+17</v>
      </c>
      <c r="CE28" s="4">
        <f t="shared" si="6"/>
        <v>8.3297045204650816E+17</v>
      </c>
      <c r="CF28" s="4">
        <f t="shared" si="7"/>
        <v>8.3307635070375718E+17</v>
      </c>
      <c r="CG28" s="4">
        <f t="shared" si="8"/>
        <v>8.3317418346438874E+17</v>
      </c>
      <c r="CH28" s="4">
        <f t="shared" si="9"/>
        <v>8.3326396982325952E+17</v>
      </c>
      <c r="CI28" s="4">
        <f t="shared" si="10"/>
        <v>8.3334574232537869E+17</v>
      </c>
      <c r="CJ28" s="4">
        <f t="shared" si="11"/>
        <v>8.3341954155989914E+17</v>
      </c>
      <c r="CK28" s="4">
        <f t="shared" si="12"/>
        <v>8.3348541582985933E+17</v>
      </c>
      <c r="CL28" s="4">
        <f t="shared" si="13"/>
        <v>8.3354341383068966E+17</v>
      </c>
      <c r="CM28" s="4">
        <f t="shared" si="14"/>
        <v>8.3359358373856256E+17</v>
      </c>
      <c r="CN28" s="4">
        <f t="shared" si="15"/>
        <v>8.3363596724192205E+17</v>
      </c>
      <c r="CO28" s="4">
        <f t="shared" si="16"/>
        <v>8.3367060056430835E+17</v>
      </c>
      <c r="CP28" s="4">
        <f t="shared" si="17"/>
        <v>8.3369751091045606E+17</v>
      </c>
      <c r="CQ28" s="4">
        <f t="shared" si="18"/>
        <v>8.3371671941403379E+17</v>
      </c>
      <c r="CR28" s="4">
        <f t="shared" si="19"/>
        <v>8.3372823908084826E+17</v>
      </c>
      <c r="CS28" s="4">
        <f t="shared" si="20"/>
        <v>8.3373207835859213E+17</v>
      </c>
      <c r="DN28" s="12"/>
      <c r="DO28" s="12"/>
      <c r="DP28" s="12"/>
      <c r="DQ28" s="12"/>
      <c r="DR28" s="12"/>
      <c r="DS28" s="12"/>
      <c r="DT28" s="12"/>
      <c r="DU28" s="12"/>
      <c r="DV28" s="12"/>
      <c r="DW28" s="12"/>
      <c r="DX28" s="12"/>
      <c r="DY28" s="12"/>
      <c r="DZ28" s="12"/>
      <c r="EA28" s="12"/>
      <c r="EB28" s="12"/>
      <c r="EC28" s="12"/>
      <c r="ED28" s="12"/>
      <c r="EE28" s="12"/>
      <c r="EF28" s="12"/>
      <c r="EG28" s="12"/>
      <c r="EH28" s="12"/>
      <c r="EI28" s="12"/>
    </row>
    <row r="29" spans="1:139" ht="15" customHeight="1">
      <c r="A29" s="21"/>
      <c r="B29" s="17"/>
      <c r="C29" s="17"/>
      <c r="D29" s="22"/>
      <c r="E29" s="31"/>
      <c r="F29" s="31"/>
      <c r="H29" s="23">
        <v>0</v>
      </c>
      <c r="I29" s="23">
        <v>0.10125000000000002</v>
      </c>
      <c r="J29" s="19">
        <v>7335749016469736</v>
      </c>
      <c r="M29" s="131">
        <v>9.7500000000000017E-2</v>
      </c>
      <c r="N29" s="18">
        <v>7338824857164048</v>
      </c>
      <c r="O29" s="18">
        <v>7339619005793856</v>
      </c>
      <c r="P29" s="18">
        <v>7341638119151088</v>
      </c>
      <c r="Q29" s="18">
        <v>7344196789567496</v>
      </c>
      <c r="R29" s="18">
        <v>7346813331159048</v>
      </c>
      <c r="S29" s="18">
        <v>7349281781606896</v>
      </c>
      <c r="T29" s="18">
        <v>7351547487923848</v>
      </c>
      <c r="U29" s="18">
        <v>7353613627294384</v>
      </c>
      <c r="V29" s="18">
        <v>7355501011651040</v>
      </c>
      <c r="W29" s="18">
        <v>7357233038662288</v>
      </c>
      <c r="X29" s="18">
        <v>7358831236337632</v>
      </c>
      <c r="Y29" s="18">
        <v>7360313910345888</v>
      </c>
      <c r="Z29" s="18">
        <v>7361696360900848</v>
      </c>
      <c r="AA29" s="18">
        <v>7362991112301272</v>
      </c>
      <c r="AB29" s="18">
        <v>7364208452190488</v>
      </c>
      <c r="AC29" s="18">
        <v>7365356686804168</v>
      </c>
      <c r="AD29" s="18">
        <v>7366442536215832</v>
      </c>
      <c r="AE29" s="18">
        <v>7367471295789088</v>
      </c>
      <c r="AF29" s="18">
        <v>7368447118532280</v>
      </c>
      <c r="AG29" s="18">
        <v>7369373127176136</v>
      </c>
      <c r="AH29" s="18">
        <v>7370251638722152</v>
      </c>
      <c r="AI29" s="18">
        <v>7371084257714760</v>
      </c>
      <c r="AJ29" s="18">
        <v>7371872068334264</v>
      </c>
      <c r="AK29" s="18">
        <v>7372615716012080</v>
      </c>
      <c r="AL29" s="18">
        <v>7373315572009264</v>
      </c>
      <c r="AM29" s="18">
        <v>7373971797933576</v>
      </c>
      <c r="AN29" s="18">
        <v>7374584476915240</v>
      </c>
      <c r="AO29" s="18">
        <v>7375153648422496</v>
      </c>
      <c r="AP29" s="18">
        <v>7375679394832328</v>
      </c>
      <c r="AQ29" s="18">
        <v>7376161835225848</v>
      </c>
      <c r="AR29" s="18">
        <v>7376601165041464</v>
      </c>
      <c r="AS29" s="18">
        <v>7376997615086096</v>
      </c>
      <c r="AT29" s="18">
        <v>7377351462356224</v>
      </c>
      <c r="AU29" s="18">
        <v>7377662977577448</v>
      </c>
      <c r="AV29" s="18">
        <v>7377932432526504</v>
      </c>
      <c r="AW29" s="18">
        <v>7378160055996328</v>
      </c>
      <c r="AX29" s="18">
        <v>7378346051330760</v>
      </c>
      <c r="AY29" s="18">
        <v>7378490566063904</v>
      </c>
      <c r="AZ29" s="18">
        <v>7378593719467336</v>
      </c>
      <c r="BA29" s="18">
        <v>7378655580504464</v>
      </c>
      <c r="BB29" s="18">
        <v>7378676198376416</v>
      </c>
      <c r="BE29" s="4">
        <f t="shared" si="2"/>
        <v>8.2570552704054554E+17</v>
      </c>
      <c r="BF29" s="4">
        <f t="shared" si="2"/>
        <v>8.2585271527763648E+17</v>
      </c>
      <c r="BG29" s="4">
        <f t="shared" si="21"/>
        <v>8.262269959673504E+17</v>
      </c>
      <c r="BH29" s="4">
        <f t="shared" si="22"/>
        <v>8.2670140994544422E+17</v>
      </c>
      <c r="BI29" s="4">
        <f t="shared" si="23"/>
        <v>8.2718668842964608E+17</v>
      </c>
      <c r="BJ29" s="4">
        <f t="shared" si="24"/>
        <v>8.2764462564989466E+17</v>
      </c>
      <c r="BK29" s="4">
        <f t="shared" si="25"/>
        <v>8.280650570093815E+17</v>
      </c>
      <c r="BL29" s="4">
        <f t="shared" si="26"/>
        <v>8.2844854492921613E+17</v>
      </c>
      <c r="BM29" s="4">
        <f t="shared" si="27"/>
        <v>8.2879892888263347E+17</v>
      </c>
      <c r="BN29" s="4">
        <f t="shared" si="28"/>
        <v>8.2912053368648397E+17</v>
      </c>
      <c r="BO29" s="4">
        <f t="shared" si="29"/>
        <v>8.2941734171476186E+17</v>
      </c>
      <c r="BP29" s="4">
        <f t="shared" si="30"/>
        <v>8.2969274068204006E+17</v>
      </c>
      <c r="BQ29" s="4">
        <f t="shared" si="31"/>
        <v>8.2994956296819443E+17</v>
      </c>
      <c r="BR29" s="4">
        <f t="shared" si="32"/>
        <v>8.3019012749555661E+17</v>
      </c>
      <c r="BS29" s="4">
        <f t="shared" si="33"/>
        <v>8.3041633932540032E+17</v>
      </c>
      <c r="BT29" s="4">
        <f t="shared" si="34"/>
        <v>8.3062973664000128E+17</v>
      </c>
      <c r="BU29" s="4">
        <f t="shared" si="35"/>
        <v>8.308315638495808E+17</v>
      </c>
      <c r="BV29" s="4">
        <f t="shared" si="36"/>
        <v>8.3102280133706598E+17</v>
      </c>
      <c r="BW29" s="4">
        <f t="shared" si="37"/>
        <v>8.3120421773668966E+17</v>
      </c>
      <c r="BX29" s="4">
        <f t="shared" si="38"/>
        <v>8.3137639061120243E+17</v>
      </c>
      <c r="BY29" s="4">
        <f t="shared" si="39"/>
        <v>8.3153974807623565E+17</v>
      </c>
      <c r="BZ29" s="4">
        <f t="shared" si="40"/>
        <v>8.3169458604983565E+17</v>
      </c>
      <c r="CA29" s="4">
        <f t="shared" si="41"/>
        <v>8.3184110390252352E+17</v>
      </c>
      <c r="CB29" s="4">
        <f t="shared" si="3"/>
        <v>8.3197941958522214E+17</v>
      </c>
      <c r="CC29" s="4">
        <f t="shared" si="4"/>
        <v>8.3210960020372019E+17</v>
      </c>
      <c r="CD29" s="4">
        <f t="shared" si="5"/>
        <v>8.3223167399733619E+17</v>
      </c>
      <c r="CE29" s="4">
        <f t="shared" si="6"/>
        <v>8.3234565472724659E+17</v>
      </c>
      <c r="CF29" s="4">
        <f t="shared" si="7"/>
        <v>8.3245154814822963E+17</v>
      </c>
      <c r="CG29" s="4">
        <f t="shared" si="8"/>
        <v>8.3254936811340122E+17</v>
      </c>
      <c r="CH29" s="4">
        <f t="shared" si="9"/>
        <v>8.3263913542141235E+17</v>
      </c>
      <c r="CI29" s="4">
        <f t="shared" si="10"/>
        <v>8.327208851961079E+17</v>
      </c>
      <c r="CJ29" s="4">
        <f t="shared" si="11"/>
        <v>8.3279465926088064E+17</v>
      </c>
      <c r="CK29" s="4">
        <f t="shared" si="12"/>
        <v>8.3286050815201613E+17</v>
      </c>
      <c r="CL29" s="4">
        <f t="shared" si="13"/>
        <v>8.3291848135507392E+17</v>
      </c>
      <c r="CM29" s="4">
        <f t="shared" si="14"/>
        <v>8.3296862866507942E+17</v>
      </c>
      <c r="CN29" s="4">
        <f t="shared" si="15"/>
        <v>8.3301099198877786E+17</v>
      </c>
      <c r="CO29" s="4">
        <f t="shared" si="16"/>
        <v>8.3304560860509222E+17</v>
      </c>
      <c r="CP29" s="4">
        <f t="shared" si="17"/>
        <v>8.3307250551213402E+17</v>
      </c>
      <c r="CQ29" s="4">
        <f t="shared" si="18"/>
        <v>8.3309170455210637E+17</v>
      </c>
      <c r="CR29" s="4">
        <f t="shared" si="19"/>
        <v>8.3310321830670387E+17</v>
      </c>
      <c r="CS29" s="4">
        <f t="shared" si="20"/>
        <v>8.3310705578135411E+17</v>
      </c>
      <c r="DN29" s="12"/>
      <c r="DO29" s="12"/>
      <c r="DP29" s="12"/>
      <c r="DQ29" s="12"/>
      <c r="DR29" s="12"/>
      <c r="DS29" s="12"/>
      <c r="DT29" s="12"/>
      <c r="DU29" s="12"/>
      <c r="DV29" s="12"/>
      <c r="DW29" s="12"/>
      <c r="DX29" s="12"/>
      <c r="DY29" s="12"/>
      <c r="DZ29" s="12"/>
      <c r="EA29" s="12"/>
      <c r="EB29" s="12"/>
      <c r="EC29" s="12"/>
      <c r="ED29" s="12"/>
      <c r="EE29" s="12"/>
      <c r="EF29" s="12"/>
      <c r="EG29" s="12"/>
      <c r="EH29" s="12"/>
      <c r="EI29" s="12"/>
    </row>
    <row r="30" spans="1:139" ht="15" customHeight="1">
      <c r="A30" s="21"/>
      <c r="B30" s="17"/>
      <c r="C30" s="17"/>
      <c r="D30" s="22"/>
      <c r="E30" s="31"/>
      <c r="F30" s="31"/>
      <c r="H30" s="23">
        <v>0</v>
      </c>
      <c r="I30" s="23">
        <v>0.10500000000000001</v>
      </c>
      <c r="J30" s="19">
        <v>7332619904154064</v>
      </c>
      <c r="M30" s="131">
        <v>0.10125000000000002</v>
      </c>
      <c r="N30" s="18">
        <v>7335749016469736</v>
      </c>
      <c r="O30" s="18">
        <v>7336646807272544</v>
      </c>
      <c r="P30" s="18">
        <v>7338888484409912</v>
      </c>
      <c r="Q30" s="18">
        <v>7341658194480800</v>
      </c>
      <c r="R30" s="18">
        <v>7344427950804200</v>
      </c>
      <c r="S30" s="18">
        <v>7346999063417880</v>
      </c>
      <c r="T30" s="18">
        <v>7349333443266080</v>
      </c>
      <c r="U30" s="18">
        <v>7351446418460736</v>
      </c>
      <c r="V30" s="18">
        <v>7353366539749256</v>
      </c>
      <c r="W30" s="18">
        <v>7355121864915976</v>
      </c>
      <c r="X30" s="18">
        <v>7356736914402088</v>
      </c>
      <c r="Y30" s="18">
        <v>7358231878569464</v>
      </c>
      <c r="Z30" s="18">
        <v>7359623378530184</v>
      </c>
      <c r="AA30" s="18">
        <v>7360924815526152</v>
      </c>
      <c r="AB30" s="18">
        <v>7362147141157872</v>
      </c>
      <c r="AC30" s="18">
        <v>7363299110200056</v>
      </c>
      <c r="AD30" s="18">
        <v>7364387799354224</v>
      </c>
      <c r="AE30" s="18">
        <v>7365418737829216</v>
      </c>
      <c r="AF30" s="18">
        <v>7366396270845968</v>
      </c>
      <c r="AG30" s="18">
        <v>7367323637238992</v>
      </c>
      <c r="AH30" s="18">
        <v>7368203254369752</v>
      </c>
      <c r="AI30" s="18">
        <v>7369036778567728</v>
      </c>
      <c r="AJ30" s="18">
        <v>7369825344802416</v>
      </c>
      <c r="AK30" s="18">
        <v>7370569617643880</v>
      </c>
      <c r="AL30" s="18">
        <v>7371269994728320</v>
      </c>
      <c r="AM30" s="18">
        <v>7371926642844704</v>
      </c>
      <c r="AN30" s="18">
        <v>7372539662070656</v>
      </c>
      <c r="AO30" s="18">
        <v>7373109094125104</v>
      </c>
      <c r="AP30" s="18">
        <v>7373635037300336</v>
      </c>
      <c r="AQ30" s="18">
        <v>7374117614851264</v>
      </c>
      <c r="AR30" s="18">
        <v>7374557039120144</v>
      </c>
      <c r="AS30" s="18">
        <v>7374953546022224</v>
      </c>
      <c r="AT30" s="18">
        <v>7375307428006360</v>
      </c>
      <c r="AU30" s="18">
        <v>7375618958738784</v>
      </c>
      <c r="AV30" s="18">
        <v>7375888421729072</v>
      </c>
      <c r="AW30" s="18">
        <v>7376116045248280</v>
      </c>
      <c r="AX30" s="18">
        <v>7376302040709496</v>
      </c>
      <c r="AY30" s="18">
        <v>7376446552431096</v>
      </c>
      <c r="AZ30" s="18">
        <v>7376549705483152</v>
      </c>
      <c r="BA30" s="18">
        <v>7376611564309448</v>
      </c>
      <c r="BB30" s="18">
        <v>7376632183049672</v>
      </c>
      <c r="BE30" s="4">
        <f t="shared" si="2"/>
        <v>8.2489850252667725E+17</v>
      </c>
      <c r="BF30" s="4">
        <f t="shared" si="2"/>
        <v>8.2506479822938675E+17</v>
      </c>
      <c r="BG30" s="4">
        <f t="shared" si="21"/>
        <v>8.2548008868559654E+17</v>
      </c>
      <c r="BH30" s="4">
        <f t="shared" si="22"/>
        <v>8.2599333958743181E+17</v>
      </c>
      <c r="BI30" s="4">
        <f t="shared" si="23"/>
        <v>8.2650675126048742E+17</v>
      </c>
      <c r="BJ30" s="4">
        <f t="shared" si="24"/>
        <v>8.2698347786343578E+17</v>
      </c>
      <c r="BK30" s="4">
        <f t="shared" si="25"/>
        <v>8.274164239098839E+17</v>
      </c>
      <c r="BL30" s="4">
        <f t="shared" si="26"/>
        <v>8.2780840033343949E+17</v>
      </c>
      <c r="BM30" s="4">
        <f t="shared" si="27"/>
        <v>8.2816467739512819E+17</v>
      </c>
      <c r="BN30" s="4">
        <f t="shared" si="28"/>
        <v>8.2849044065934502E+17</v>
      </c>
      <c r="BO30" s="4">
        <f t="shared" si="29"/>
        <v>8.287902247590569E+17</v>
      </c>
      <c r="BP30" s="4">
        <f t="shared" si="30"/>
        <v>8.2906776484597248E+17</v>
      </c>
      <c r="BQ30" s="4">
        <f t="shared" si="31"/>
        <v>8.2932613664695706E+17</v>
      </c>
      <c r="BR30" s="4">
        <f t="shared" si="32"/>
        <v>8.2956782044641536E+17</v>
      </c>
      <c r="BS30" s="4">
        <f t="shared" si="33"/>
        <v>8.2979484344449702E+17</v>
      </c>
      <c r="BT30" s="4">
        <f t="shared" si="34"/>
        <v>8.3000882621877862E+17</v>
      </c>
      <c r="BU30" s="4">
        <f t="shared" si="35"/>
        <v>8.3021107870363776E+17</v>
      </c>
      <c r="BV30" s="4">
        <f t="shared" si="36"/>
        <v>8.3040262416632998E+17</v>
      </c>
      <c r="BW30" s="4">
        <f t="shared" si="37"/>
        <v>8.3058426652156006E+17</v>
      </c>
      <c r="BX30" s="4">
        <f t="shared" si="38"/>
        <v>8.3075660458383872E+17</v>
      </c>
      <c r="BY30" s="4">
        <f t="shared" si="39"/>
        <v>8.3092008488131827E+17</v>
      </c>
      <c r="BZ30" s="4">
        <f t="shared" si="40"/>
        <v>8.3107501279128179E+17</v>
      </c>
      <c r="CA30" s="4">
        <f t="shared" si="41"/>
        <v>8.3122159701198067E+17</v>
      </c>
      <c r="CB30" s="4">
        <f t="shared" si="3"/>
        <v>8.3135995898327078E+17</v>
      </c>
      <c r="CC30" s="4">
        <f t="shared" si="4"/>
        <v>8.3149017067293069E+17</v>
      </c>
      <c r="CD30" s="4">
        <f t="shared" si="5"/>
        <v>8.3161226126328742E+17</v>
      </c>
      <c r="CE30" s="4">
        <f t="shared" si="6"/>
        <v>8.3172624765457715E+17</v>
      </c>
      <c r="CF30" s="4">
        <f t="shared" si="7"/>
        <v>8.318321360129888E+17</v>
      </c>
      <c r="CG30" s="4">
        <f t="shared" si="8"/>
        <v>8.3192994314071795E+17</v>
      </c>
      <c r="CH30" s="4">
        <f t="shared" si="9"/>
        <v>8.320196905993481E+17</v>
      </c>
      <c r="CI30" s="4">
        <f t="shared" si="10"/>
        <v>8.3210141663656627E+17</v>
      </c>
      <c r="CJ30" s="4">
        <f t="shared" si="11"/>
        <v>8.3217516400316186E+17</v>
      </c>
      <c r="CK30" s="4">
        <f t="shared" si="12"/>
        <v>8.3224098608283264E+17</v>
      </c>
      <c r="CL30" s="4">
        <f t="shared" si="13"/>
        <v>8.3229893288237402E+17</v>
      </c>
      <c r="CM30" s="4">
        <f t="shared" si="14"/>
        <v>8.3234905635357478E+17</v>
      </c>
      <c r="CN30" s="4">
        <f t="shared" si="15"/>
        <v>8.3239139828464179E+17</v>
      </c>
      <c r="CO30" s="4">
        <f t="shared" si="16"/>
        <v>8.3242599743650214E+17</v>
      </c>
      <c r="CP30" s="4">
        <f t="shared" si="17"/>
        <v>8.324528801953184E+17</v>
      </c>
      <c r="CQ30" s="4">
        <f t="shared" si="18"/>
        <v>8.3247206947084557E+17</v>
      </c>
      <c r="CR30" s="4">
        <f t="shared" si="19"/>
        <v>8.3248357699760154E+17</v>
      </c>
      <c r="CS30" s="4">
        <f t="shared" si="20"/>
        <v>8.3248741269514931E+17</v>
      </c>
      <c r="DN30" s="12"/>
      <c r="DO30" s="12"/>
      <c r="DP30" s="12"/>
      <c r="DQ30" s="12"/>
      <c r="DR30" s="12"/>
      <c r="DS30" s="12"/>
      <c r="DT30" s="12"/>
      <c r="DU30" s="12"/>
      <c r="DV30" s="12"/>
      <c r="DW30" s="12"/>
      <c r="DX30" s="12"/>
      <c r="DY30" s="12"/>
      <c r="DZ30" s="12"/>
      <c r="EA30" s="12"/>
      <c r="EB30" s="12"/>
      <c r="EC30" s="12"/>
      <c r="ED30" s="12"/>
      <c r="EE30" s="12"/>
      <c r="EF30" s="12"/>
      <c r="EG30" s="12"/>
      <c r="EH30" s="12"/>
      <c r="EI30" s="12"/>
    </row>
    <row r="31" spans="1:139" ht="15" customHeight="1">
      <c r="A31" s="21"/>
      <c r="B31" s="17"/>
      <c r="C31" s="17"/>
      <c r="D31" s="22"/>
      <c r="E31" s="31"/>
      <c r="F31" s="31"/>
      <c r="H31" s="23">
        <v>0</v>
      </c>
      <c r="I31" s="23">
        <v>0.10875000000000001</v>
      </c>
      <c r="J31" s="19">
        <v>7329428795862440</v>
      </c>
      <c r="M31" s="131">
        <v>0.10500000000000001</v>
      </c>
      <c r="N31" s="18">
        <v>7332619904154064</v>
      </c>
      <c r="O31" s="18">
        <v>7333642121988320</v>
      </c>
      <c r="P31" s="18">
        <v>7336141649869696</v>
      </c>
      <c r="Q31" s="18">
        <v>7339143344578328</v>
      </c>
      <c r="R31" s="18">
        <v>7342073602940000</v>
      </c>
      <c r="S31" s="18">
        <v>7344748562955680</v>
      </c>
      <c r="T31" s="18">
        <v>7347150904249232</v>
      </c>
      <c r="U31" s="18">
        <v>7349309542955912</v>
      </c>
      <c r="V31" s="18">
        <v>7351261285921904</v>
      </c>
      <c r="W31" s="18">
        <v>7353038934573224</v>
      </c>
      <c r="X31" s="18">
        <v>7354670042645432</v>
      </c>
      <c r="Y31" s="18">
        <v>7356176640283304</v>
      </c>
      <c r="Z31" s="18">
        <v>7357576665580488</v>
      </c>
      <c r="AA31" s="18">
        <v>7358884356989008</v>
      </c>
      <c r="AB31" s="18">
        <v>7360111327792464</v>
      </c>
      <c r="AC31" s="18">
        <v>7361266753985952</v>
      </c>
      <c r="AD31" s="18">
        <v>7362358069737896</v>
      </c>
      <c r="AE31" s="18">
        <v>7363391018370576</v>
      </c>
      <c r="AF31" s="18">
        <v>7364370139040296</v>
      </c>
      <c r="AG31" s="18">
        <v>7365298771019336</v>
      </c>
      <c r="AH31" s="18">
        <v>7366179433582232</v>
      </c>
      <c r="AI31" s="18">
        <v>7367013821647528</v>
      </c>
      <c r="AJ31" s="18">
        <v>7367803122300216</v>
      </c>
      <c r="AK31" s="18">
        <v>7368548007988080</v>
      </c>
      <c r="AL31" s="18">
        <v>7369248904198360</v>
      </c>
      <c r="AM31" s="18">
        <v>7369905973577136</v>
      </c>
      <c r="AN31" s="18">
        <v>7370519335406536</v>
      </c>
      <c r="AO31" s="18">
        <v>7371089026588096</v>
      </c>
      <c r="AP31" s="18">
        <v>7371615164954864</v>
      </c>
      <c r="AQ31" s="18">
        <v>7372097873136328</v>
      </c>
      <c r="AR31" s="18">
        <v>7372537385190184</v>
      </c>
      <c r="AS31" s="18">
        <v>7372933938757632</v>
      </c>
      <c r="AT31" s="18">
        <v>7373287846796072</v>
      </c>
      <c r="AU31" s="18">
        <v>7373599382814560</v>
      </c>
      <c r="AV31" s="18">
        <v>7373868846579056</v>
      </c>
      <c r="AW31" s="18">
        <v>7374096462429480</v>
      </c>
      <c r="AX31" s="18">
        <v>7374282453691040</v>
      </c>
      <c r="AY31" s="18">
        <v>7374426957736064</v>
      </c>
      <c r="AZ31" s="18">
        <v>7374530108868904</v>
      </c>
      <c r="BA31" s="18">
        <v>7374591963221696</v>
      </c>
      <c r="BB31" s="18">
        <v>7374612583279632</v>
      </c>
      <c r="BE31" s="4">
        <f t="shared" si="2"/>
        <v>8.2408220043157363E+17</v>
      </c>
      <c r="BF31" s="4">
        <f t="shared" si="2"/>
        <v>8.2427142688479782E+17</v>
      </c>
      <c r="BG31" s="4">
        <f t="shared" si="21"/>
        <v>8.247342108589687E+17</v>
      </c>
      <c r="BH31" s="4">
        <f t="shared" si="22"/>
        <v>8.2529013405492646E+17</v>
      </c>
      <c r="BI31" s="4">
        <f t="shared" si="23"/>
        <v>8.2583299939636429E+17</v>
      </c>
      <c r="BJ31" s="4">
        <f t="shared" si="24"/>
        <v>8.2632871636470336E+17</v>
      </c>
      <c r="BK31" s="4">
        <f t="shared" si="25"/>
        <v>8.2677403326823795E+17</v>
      </c>
      <c r="BL31" s="4">
        <f t="shared" si="26"/>
        <v>8.2717427317888102E+17</v>
      </c>
      <c r="BM31" s="4">
        <f t="shared" si="27"/>
        <v>8.2753623146566605E+17</v>
      </c>
      <c r="BN31" s="4">
        <f t="shared" si="28"/>
        <v>8.2786596903334272E+17</v>
      </c>
      <c r="BO31" s="4">
        <f t="shared" si="29"/>
        <v>8.2816857980286669E+17</v>
      </c>
      <c r="BP31" s="4">
        <f t="shared" si="30"/>
        <v>8.2844813769678566E+17</v>
      </c>
      <c r="BQ31" s="4">
        <f t="shared" si="31"/>
        <v>8.2870796083308902E+17</v>
      </c>
      <c r="BR31" s="4">
        <f t="shared" si="32"/>
        <v>8.2895068333624282E+17</v>
      </c>
      <c r="BS31" s="4">
        <f t="shared" si="33"/>
        <v>8.2917845401204838E+17</v>
      </c>
      <c r="BT31" s="4">
        <f t="shared" si="34"/>
        <v>8.2939297068884851E+17</v>
      </c>
      <c r="BU31" s="4">
        <f t="shared" si="35"/>
        <v>8.2959560892279706E+17</v>
      </c>
      <c r="BV31" s="4">
        <f t="shared" si="36"/>
        <v>8.2978743116476454E+17</v>
      </c>
      <c r="BW31" s="4">
        <f t="shared" si="37"/>
        <v>8.2996927689930061E+17</v>
      </c>
      <c r="BX31" s="4">
        <f t="shared" si="38"/>
        <v>8.3014176326561293E+17</v>
      </c>
      <c r="BY31" s="4">
        <f t="shared" si="39"/>
        <v>8.3030535547725312E+17</v>
      </c>
      <c r="BZ31" s="4">
        <f t="shared" si="40"/>
        <v>8.304603659120983E+17</v>
      </c>
      <c r="CA31" s="4">
        <f t="shared" si="41"/>
        <v>8.3060701283466048E+17</v>
      </c>
      <c r="CB31" s="4">
        <f t="shared" si="3"/>
        <v>8.3074541907902182E+17</v>
      </c>
      <c r="CC31" s="4">
        <f t="shared" si="4"/>
        <v>8.3087566174489894E+17</v>
      </c>
      <c r="CD31" s="4">
        <f t="shared" si="5"/>
        <v>8.3099776922435942E+17</v>
      </c>
      <c r="CE31" s="4">
        <f t="shared" si="6"/>
        <v>8.3111176197310771E+17</v>
      </c>
      <c r="CF31" s="4">
        <f t="shared" si="7"/>
        <v>8.3121764525473792E+17</v>
      </c>
      <c r="CG31" s="4">
        <f t="shared" si="8"/>
        <v>8.3131543949135514E+17</v>
      </c>
      <c r="CH31" s="4">
        <f t="shared" si="9"/>
        <v>8.3140516611464602E+17</v>
      </c>
      <c r="CI31" s="4">
        <f t="shared" si="10"/>
        <v>8.31486867387408E+17</v>
      </c>
      <c r="CJ31" s="4">
        <f t="shared" si="11"/>
        <v>8.3156058635821146E+17</v>
      </c>
      <c r="CK31" s="4">
        <f t="shared" si="12"/>
        <v>8.3162638019535898E+17</v>
      </c>
      <c r="CL31" s="4">
        <f t="shared" si="13"/>
        <v>8.3168429885059469E+17</v>
      </c>
      <c r="CM31" s="4">
        <f t="shared" si="14"/>
        <v>8.3173439727144013E+17</v>
      </c>
      <c r="CN31" s="4">
        <f t="shared" si="15"/>
        <v>8.3177671649397824E+17</v>
      </c>
      <c r="CO31" s="4">
        <f t="shared" si="16"/>
        <v>8.3181129747425306E+17</v>
      </c>
      <c r="CP31" s="4">
        <f t="shared" si="17"/>
        <v>8.3183816529361792E+17</v>
      </c>
      <c r="CQ31" s="4">
        <f t="shared" si="18"/>
        <v>8.3185734456719821E+17</v>
      </c>
      <c r="CR31" s="4">
        <f t="shared" si="19"/>
        <v>8.3186884547816474E+17</v>
      </c>
      <c r="CS31" s="4">
        <f t="shared" si="20"/>
        <v>8.3187267949279616E+17</v>
      </c>
      <c r="DN31" s="12"/>
      <c r="DO31" s="12"/>
      <c r="DP31" s="12"/>
      <c r="DQ31" s="12"/>
      <c r="DR31" s="12"/>
      <c r="DS31" s="12"/>
      <c r="DT31" s="12"/>
      <c r="DU31" s="12"/>
      <c r="DV31" s="12"/>
      <c r="DW31" s="12"/>
      <c r="DX31" s="12"/>
      <c r="DY31" s="12"/>
      <c r="DZ31" s="12"/>
      <c r="EA31" s="12"/>
      <c r="EB31" s="12"/>
      <c r="EC31" s="12"/>
      <c r="ED31" s="12"/>
      <c r="EE31" s="12"/>
      <c r="EF31" s="12"/>
      <c r="EG31" s="12"/>
      <c r="EH31" s="12"/>
      <c r="EI31" s="12"/>
    </row>
    <row r="32" spans="1:139" ht="15" customHeight="1">
      <c r="A32" s="21"/>
      <c r="B32" s="17"/>
      <c r="C32" s="17"/>
      <c r="D32" s="22"/>
      <c r="E32" s="31"/>
      <c r="F32" s="31"/>
      <c r="H32" s="23">
        <v>0</v>
      </c>
      <c r="I32" s="23">
        <v>0.11250000000000002</v>
      </c>
      <c r="J32" s="19">
        <v>7326159801895200</v>
      </c>
      <c r="K32" s="207">
        <f>+O2-N2</f>
        <v>1.8750000000000003E-2</v>
      </c>
      <c r="M32" s="131">
        <v>0.10875000000000001</v>
      </c>
      <c r="N32" s="18">
        <v>7329428795862440</v>
      </c>
      <c r="O32" s="18">
        <v>7330601888750048</v>
      </c>
      <c r="P32" s="18">
        <v>7333401527966688</v>
      </c>
      <c r="Q32" s="18">
        <v>7336657637073624</v>
      </c>
      <c r="R32" s="18">
        <v>7339754911997760</v>
      </c>
      <c r="S32" s="18">
        <v>7342534042620912</v>
      </c>
      <c r="T32" s="18">
        <v>7345003104016240</v>
      </c>
      <c r="U32" s="18">
        <v>7347205907883480</v>
      </c>
      <c r="V32" s="18">
        <v>7349187975674200</v>
      </c>
      <c r="W32" s="18">
        <v>7350986851898768</v>
      </c>
      <c r="X32" s="18">
        <v>7352633155298040</v>
      </c>
      <c r="Y32" s="18">
        <v>7354150676060528</v>
      </c>
      <c r="Z32" s="18">
        <v>7355558671076792</v>
      </c>
      <c r="AA32" s="18">
        <v>7356872158207000</v>
      </c>
      <c r="AB32" s="18">
        <v>7358103418038160</v>
      </c>
      <c r="AC32" s="18">
        <v>7359262008901696</v>
      </c>
      <c r="AD32" s="18">
        <v>7360355730486576</v>
      </c>
      <c r="AE32" s="18">
        <v>7361390512014472</v>
      </c>
      <c r="AF32" s="18">
        <v>7362371094446720</v>
      </c>
      <c r="AG32" s="18">
        <v>7363300895125672</v>
      </c>
      <c r="AH32" s="18">
        <v>7364182542039696</v>
      </c>
      <c r="AI32" s="18">
        <v>7365017749989632</v>
      </c>
      <c r="AJ32" s="18">
        <v>7365807764069512</v>
      </c>
      <c r="AK32" s="18">
        <v>7366553248678192</v>
      </c>
      <c r="AL32" s="18">
        <v>7367254662673224</v>
      </c>
      <c r="AM32" s="18">
        <v>7367912151173352</v>
      </c>
      <c r="AN32" s="18">
        <v>7368525858561912</v>
      </c>
      <c r="AO32" s="18">
        <v>7369095806261728</v>
      </c>
      <c r="AP32" s="18">
        <v>7369622138634576</v>
      </c>
      <c r="AQ32" s="18">
        <v>7370104969672368</v>
      </c>
      <c r="AR32" s="18">
        <v>7370544563109312</v>
      </c>
      <c r="AS32" s="18">
        <v>7370941151978360</v>
      </c>
      <c r="AT32" s="18">
        <v>7371295077736656</v>
      </c>
      <c r="AU32" s="18">
        <v>7371606607836720</v>
      </c>
      <c r="AV32" s="18">
        <v>7371876065574208</v>
      </c>
      <c r="AW32" s="18">
        <v>7372103665248608</v>
      </c>
      <c r="AX32" s="18">
        <v>7372289648563288</v>
      </c>
      <c r="AY32" s="18">
        <v>7372434139595216</v>
      </c>
      <c r="AZ32" s="18">
        <v>7372537287869472</v>
      </c>
      <c r="BA32" s="18">
        <v>7372599134856280</v>
      </c>
      <c r="BB32" s="18">
        <v>7372619757312792</v>
      </c>
      <c r="BE32" s="4">
        <f t="shared" si="2"/>
        <v>8.2325502495437824E+17</v>
      </c>
      <c r="BF32" s="4">
        <f t="shared" si="2"/>
        <v>8.2347204557499891E+17</v>
      </c>
      <c r="BG32" s="4">
        <f t="shared" si="21"/>
        <v>8.2399008536602278E+17</v>
      </c>
      <c r="BH32" s="4">
        <f t="shared" si="22"/>
        <v>8.2459278494631744E+17</v>
      </c>
      <c r="BI32" s="4">
        <f t="shared" si="23"/>
        <v>8.2516627971530586E+17</v>
      </c>
      <c r="BJ32" s="4">
        <f t="shared" si="24"/>
        <v>8.2568102845326067E+17</v>
      </c>
      <c r="BK32" s="4">
        <f t="shared" si="25"/>
        <v>8.2613847484254323E+17</v>
      </c>
      <c r="BL32" s="4">
        <f t="shared" si="26"/>
        <v>8.2654669336332058E+17</v>
      </c>
      <c r="BM32" s="4">
        <f t="shared" si="27"/>
        <v>8.2691408781967821E+17</v>
      </c>
      <c r="BN32" s="4">
        <f t="shared" si="28"/>
        <v>8.2724759346864E+17</v>
      </c>
      <c r="BO32" s="4">
        <f t="shared" si="29"/>
        <v>8.2755286885622925E+17</v>
      </c>
      <c r="BP32" s="4">
        <f t="shared" si="30"/>
        <v>8.2783431157360307E+17</v>
      </c>
      <c r="BQ32" s="4">
        <f t="shared" si="31"/>
        <v>8.2809548224425946E+17</v>
      </c>
      <c r="BR32" s="4">
        <f t="shared" si="32"/>
        <v>8.2833915797419366E+17</v>
      </c>
      <c r="BS32" s="4">
        <f t="shared" si="33"/>
        <v>8.2856761010952013E+17</v>
      </c>
      <c r="BT32" s="4">
        <f t="shared" si="34"/>
        <v>8.287826064484544E+17</v>
      </c>
      <c r="BU32" s="4">
        <f t="shared" si="35"/>
        <v>8.289855896064873E+17</v>
      </c>
      <c r="BV32" s="4">
        <f t="shared" si="36"/>
        <v>8.2917765594965146E+17</v>
      </c>
      <c r="BW32" s="4">
        <f t="shared" si="37"/>
        <v>8.2935968196287066E+17</v>
      </c>
      <c r="BX32" s="4">
        <f t="shared" si="38"/>
        <v>8.295322989438153E+17</v>
      </c>
      <c r="BY32" s="4">
        <f t="shared" si="39"/>
        <v>8.2969599203847027E+17</v>
      </c>
      <c r="BZ32" s="4">
        <f t="shared" si="40"/>
        <v>8.2985107714740198E+17</v>
      </c>
      <c r="CA32" s="4">
        <f t="shared" si="41"/>
        <v>8.2999778318778342E+17</v>
      </c>
      <c r="CB32" s="4">
        <f t="shared" si="3"/>
        <v>8.301362314300201E+17</v>
      </c>
      <c r="CC32" s="4">
        <f t="shared" si="4"/>
        <v>8.302665051262967E+17</v>
      </c>
      <c r="CD32" s="4">
        <f t="shared" si="5"/>
        <v>8.3038862939364864E+17</v>
      </c>
      <c r="CE32" s="4">
        <f t="shared" si="6"/>
        <v>8.305026293350944E+17</v>
      </c>
      <c r="CF32" s="4">
        <f t="shared" si="7"/>
        <v>8.3060850733213798E+17</v>
      </c>
      <c r="CG32" s="4">
        <f t="shared" si="8"/>
        <v>8.3070628872128858E+17</v>
      </c>
      <c r="CH32" s="4">
        <f t="shared" si="9"/>
        <v>8.307959933159639E+17</v>
      </c>
      <c r="CI32" s="4">
        <f t="shared" si="10"/>
        <v>8.3087766886917338E+17</v>
      </c>
      <c r="CJ32" s="4">
        <f t="shared" si="11"/>
        <v>8.3095135755017626E+17</v>
      </c>
      <c r="CK32" s="4">
        <f t="shared" si="12"/>
        <v>8.3101712179304934E+17</v>
      </c>
      <c r="CL32" s="4">
        <f t="shared" si="13"/>
        <v>8.3107501039851738E+17</v>
      </c>
      <c r="CM32" s="4">
        <f t="shared" si="14"/>
        <v>8.3112508265854003E+17</v>
      </c>
      <c r="CN32" s="4">
        <f t="shared" si="15"/>
        <v>8.3116737772271283E+17</v>
      </c>
      <c r="CO32" s="4">
        <f t="shared" si="16"/>
        <v>8.3120193994173235E+17</v>
      </c>
      <c r="CP32" s="4">
        <f t="shared" si="17"/>
        <v>8.3122879191362189E+17</v>
      </c>
      <c r="CQ32" s="4">
        <f t="shared" si="18"/>
        <v>8.3124796106976384E+17</v>
      </c>
      <c r="CR32" s="4">
        <f t="shared" si="19"/>
        <v>8.3125945486344064E+17</v>
      </c>
      <c r="CS32" s="4">
        <f t="shared" si="20"/>
        <v>8.3126328740751936E+17</v>
      </c>
      <c r="DN32" s="12"/>
      <c r="DO32" s="12"/>
      <c r="DP32" s="12"/>
      <c r="DQ32" s="12"/>
      <c r="DR32" s="12"/>
      <c r="DS32" s="12"/>
      <c r="DT32" s="12"/>
      <c r="DU32" s="12"/>
      <c r="DV32" s="12"/>
      <c r="DW32" s="12"/>
      <c r="DX32" s="12"/>
      <c r="DY32" s="12"/>
      <c r="DZ32" s="12"/>
      <c r="EA32" s="12"/>
      <c r="EB32" s="12"/>
      <c r="EC32" s="12"/>
      <c r="ED32" s="12"/>
      <c r="EE32" s="12"/>
      <c r="EF32" s="12"/>
      <c r="EG32" s="12"/>
      <c r="EH32" s="12"/>
      <c r="EI32" s="12"/>
    </row>
    <row r="33" spans="1:139" ht="15" customHeight="1">
      <c r="A33" s="21"/>
      <c r="B33" s="17"/>
      <c r="C33" s="17"/>
      <c r="D33" s="22"/>
      <c r="E33" s="31"/>
      <c r="F33" s="31"/>
      <c r="H33" s="23">
        <v>0</v>
      </c>
      <c r="I33" s="23">
        <v>0.11625000000000002</v>
      </c>
      <c r="J33" s="19">
        <v>7322798193704024</v>
      </c>
      <c r="M33" s="131">
        <v>0.11250000000000002</v>
      </c>
      <c r="N33" s="18">
        <v>7326159801895200</v>
      </c>
      <c r="O33" s="18">
        <v>7327517836703504</v>
      </c>
      <c r="P33" s="18">
        <v>7330668354887736</v>
      </c>
      <c r="Q33" s="18">
        <v>7334202459298672</v>
      </c>
      <c r="R33" s="18">
        <v>7337472086504560</v>
      </c>
      <c r="S33" s="18">
        <v>7340354672898248</v>
      </c>
      <c r="T33" s="18">
        <v>7342888641440792</v>
      </c>
      <c r="U33" s="18">
        <v>7345133767322096</v>
      </c>
      <c r="V33" s="18">
        <v>7347144684192752</v>
      </c>
      <c r="W33" s="18">
        <v>7348963568206992</v>
      </c>
      <c r="X33" s="18">
        <v>7350624138226888</v>
      </c>
      <c r="Y33" s="18">
        <v>7352151817005880</v>
      </c>
      <c r="Z33" s="18">
        <v>7353567197847504</v>
      </c>
      <c r="AA33" s="18">
        <v>7354885993520888</v>
      </c>
      <c r="AB33" s="18">
        <v>7356121172946064</v>
      </c>
      <c r="AC33" s="18">
        <v>7357282619902312</v>
      </c>
      <c r="AD33" s="18">
        <v>7358378520644000</v>
      </c>
      <c r="AE33" s="18">
        <v>7359414948523368</v>
      </c>
      <c r="AF33" s="18">
        <v>7360396864932184</v>
      </c>
      <c r="AG33" s="18">
        <v>7361327732065040</v>
      </c>
      <c r="AH33" s="18">
        <v>7362210302477344</v>
      </c>
      <c r="AI33" s="18">
        <v>7363046283141472</v>
      </c>
      <c r="AJ33" s="18">
        <v>7363836990855784</v>
      </c>
      <c r="AK33" s="18">
        <v>7364583058365416</v>
      </c>
      <c r="AL33" s="18">
        <v>7365284990273064</v>
      </c>
      <c r="AM33" s="18">
        <v>7365942894070496</v>
      </c>
      <c r="AN33" s="18">
        <v>7366556951276600</v>
      </c>
      <c r="AO33" s="18">
        <v>7367127151202904</v>
      </c>
      <c r="AP33" s="18">
        <v>7367653677357616</v>
      </c>
      <c r="AQ33" s="18">
        <v>7368136621711784</v>
      </c>
      <c r="AR33" s="18">
        <v>7368576290880832</v>
      </c>
      <c r="AS33" s="18">
        <v>7368972902006184</v>
      </c>
      <c r="AT33" s="18">
        <v>7369326837926928</v>
      </c>
      <c r="AU33" s="18">
        <v>7369638349452528</v>
      </c>
      <c r="AV33" s="18">
        <v>7369907795274816</v>
      </c>
      <c r="AW33" s="18">
        <v>7370135369041432</v>
      </c>
      <c r="AX33" s="18">
        <v>7370321341687528</v>
      </c>
      <c r="AY33" s="18">
        <v>7370465813284136</v>
      </c>
      <c r="AZ33" s="18">
        <v>7370568958828472</v>
      </c>
      <c r="BA33" s="18">
        <v>7370630794513352</v>
      </c>
      <c r="BB33" s="18">
        <v>7370651421506336</v>
      </c>
      <c r="BE33" s="4">
        <f t="shared" si="2"/>
        <v>8.2241405989759142E+17</v>
      </c>
      <c r="BF33" s="4">
        <f t="shared" si="2"/>
        <v>8.226651368352393E+17</v>
      </c>
      <c r="BG33" s="4">
        <f t="shared" si="21"/>
        <v>8.232477534524695E+17</v>
      </c>
      <c r="BH33" s="4">
        <f t="shared" si="22"/>
        <v>8.2390153975658982E+17</v>
      </c>
      <c r="BI33" s="4">
        <f t="shared" si="23"/>
        <v>8.2450661998378022E+17</v>
      </c>
      <c r="BJ33" s="4">
        <f t="shared" si="24"/>
        <v>8.2504024985136922E+17</v>
      </c>
      <c r="BK33" s="4">
        <f t="shared" si="25"/>
        <v>8.2550947895690381E+17</v>
      </c>
      <c r="BL33" s="4">
        <f t="shared" si="26"/>
        <v>8.2592532779903219E+17</v>
      </c>
      <c r="BM33" s="4">
        <f t="shared" si="27"/>
        <v>8.2629788058345152E+17</v>
      </c>
      <c r="BN33" s="4">
        <f t="shared" si="28"/>
        <v>8.2663492541679475E+17</v>
      </c>
      <c r="BO33" s="4">
        <f t="shared" si="29"/>
        <v>8.2694269144372979E+17</v>
      </c>
      <c r="BP33" s="4">
        <f t="shared" si="30"/>
        <v>8.2722587600409907E+17</v>
      </c>
      <c r="BQ33" s="4">
        <f t="shared" si="31"/>
        <v>8.2748828527416141E+17</v>
      </c>
      <c r="BR33" s="4">
        <f t="shared" si="32"/>
        <v>8.2773282355200819E+17</v>
      </c>
      <c r="BS33" s="4">
        <f t="shared" si="33"/>
        <v>8.2796188851603661E+17</v>
      </c>
      <c r="BT33" s="4">
        <f t="shared" si="34"/>
        <v>8.2817730732630797E+17</v>
      </c>
      <c r="BU33" s="4">
        <f t="shared" si="35"/>
        <v>8.2838059350316787E+17</v>
      </c>
      <c r="BV33" s="4">
        <f t="shared" si="36"/>
        <v>8.2857286955322547E+17</v>
      </c>
      <c r="BW33" s="4">
        <f t="shared" si="37"/>
        <v>8.287550523857952E+17</v>
      </c>
      <c r="BX33" s="4">
        <f t="shared" si="38"/>
        <v>8.2892778128402714E+17</v>
      </c>
      <c r="BY33" s="4">
        <f t="shared" si="39"/>
        <v>8.2909156425135821E+17</v>
      </c>
      <c r="BZ33" s="4">
        <f t="shared" si="40"/>
        <v>8.2924671556746982E+17</v>
      </c>
      <c r="CA33" s="4">
        <f t="shared" si="41"/>
        <v>8.2939347733496077E+17</v>
      </c>
      <c r="CB33" s="4">
        <f t="shared" si="3"/>
        <v>8.2953196488196198E+17</v>
      </c>
      <c r="CC33" s="4">
        <f t="shared" si="4"/>
        <v>8.2966226990470822E+17</v>
      </c>
      <c r="CD33" s="4">
        <f t="shared" si="5"/>
        <v>8.2978441051754662E+17</v>
      </c>
      <c r="CE33" s="4">
        <f t="shared" si="6"/>
        <v>8.2989841870050112E+17</v>
      </c>
      <c r="CF33" s="4">
        <f t="shared" si="7"/>
        <v>8.300042908677911E+17</v>
      </c>
      <c r="CG33" s="4">
        <f t="shared" si="8"/>
        <v>8.301020596082112E+17</v>
      </c>
      <c r="CH33" s="4">
        <f t="shared" si="9"/>
        <v>8.3019174063340659E+17</v>
      </c>
      <c r="CI33" s="4">
        <f t="shared" si="10"/>
        <v>8.302733896332384E+17</v>
      </c>
      <c r="CJ33" s="4">
        <f t="shared" si="11"/>
        <v>8.3034704580324301E+17</v>
      </c>
      <c r="CK33" s="4">
        <f t="shared" si="12"/>
        <v>8.304127792305705E+17</v>
      </c>
      <c r="CL33" s="4">
        <f t="shared" si="13"/>
        <v>8.3047063560007974E+17</v>
      </c>
      <c r="CM33" s="4">
        <f t="shared" si="14"/>
        <v>8.3052068074795046E+17</v>
      </c>
      <c r="CN33" s="4">
        <f t="shared" si="15"/>
        <v>8.3056294996841472E+17</v>
      </c>
      <c r="CO33" s="4">
        <f t="shared" si="16"/>
        <v>8.305974930195145E+17</v>
      </c>
      <c r="CP33" s="4">
        <f t="shared" si="17"/>
        <v>8.3062432802909555E+17</v>
      </c>
      <c r="CQ33" s="4">
        <f t="shared" si="18"/>
        <v>8.3064348714623104E+17</v>
      </c>
      <c r="CR33" s="4">
        <f t="shared" si="19"/>
        <v>8.3065497312525901E+17</v>
      </c>
      <c r="CS33" s="4">
        <f t="shared" si="20"/>
        <v>8.3065880460625216E+17</v>
      </c>
      <c r="DN33" s="12"/>
      <c r="DO33" s="12"/>
      <c r="DP33" s="12"/>
      <c r="DQ33" s="12"/>
      <c r="DR33" s="12"/>
      <c r="DS33" s="12"/>
      <c r="DT33" s="12"/>
      <c r="DU33" s="12"/>
      <c r="DV33" s="12"/>
      <c r="DW33" s="12"/>
      <c r="DX33" s="12"/>
      <c r="DY33" s="12"/>
      <c r="DZ33" s="12"/>
      <c r="EA33" s="12"/>
      <c r="EB33" s="12"/>
      <c r="EC33" s="12"/>
      <c r="ED33" s="12"/>
      <c r="EE33" s="12"/>
      <c r="EF33" s="12"/>
      <c r="EG33" s="12"/>
      <c r="EH33" s="12"/>
      <c r="EI33" s="12"/>
    </row>
    <row r="34" spans="1:139" ht="15" customHeight="1">
      <c r="A34" s="21"/>
      <c r="B34" s="17"/>
      <c r="C34" s="17"/>
      <c r="D34" s="22"/>
      <c r="E34" s="31"/>
      <c r="F34" s="31"/>
      <c r="H34" s="23">
        <v>0</v>
      </c>
      <c r="I34" s="23">
        <v>0.12000000000000002</v>
      </c>
      <c r="J34" s="19">
        <v>7319320516983488</v>
      </c>
      <c r="M34" s="131">
        <v>0.11625000000000002</v>
      </c>
      <c r="N34" s="18">
        <v>7322798193704024</v>
      </c>
      <c r="O34" s="18">
        <v>7324385626992944</v>
      </c>
      <c r="P34" s="18">
        <v>7327948147988264</v>
      </c>
      <c r="Q34" s="18">
        <v>7331784374117408</v>
      </c>
      <c r="R34" s="18">
        <v>7335230019957256</v>
      </c>
      <c r="S34" s="18">
        <v>7338214124543504</v>
      </c>
      <c r="T34" s="18">
        <v>7340810585339176</v>
      </c>
      <c r="U34" s="18">
        <v>7343095827538680</v>
      </c>
      <c r="V34" s="18">
        <v>7345133946814224</v>
      </c>
      <c r="W34" s="18">
        <v>7346971491254120</v>
      </c>
      <c r="X34" s="18">
        <v>7348645340766856</v>
      </c>
      <c r="Y34" s="18">
        <v>7350182355308856</v>
      </c>
      <c r="Z34" s="18">
        <v>7351604514504696</v>
      </c>
      <c r="AA34" s="18">
        <v>7352928100975176</v>
      </c>
      <c r="AB34" s="18">
        <v>7354166820524368</v>
      </c>
      <c r="AC34" s="18">
        <v>7355330797100272</v>
      </c>
      <c r="AD34" s="18">
        <v>7356428646846312</v>
      </c>
      <c r="AE34" s="18">
        <v>7357466523736240</v>
      </c>
      <c r="AF34" s="18">
        <v>7358449646387952</v>
      </c>
      <c r="AG34" s="18">
        <v>7359381471093952</v>
      </c>
      <c r="AH34" s="18">
        <v>7360264906004152</v>
      </c>
      <c r="AI34" s="18">
        <v>7361101607929704</v>
      </c>
      <c r="AJ34" s="18">
        <v>7361892992070048</v>
      </c>
      <c r="AK34" s="18">
        <v>7362639623394320</v>
      </c>
      <c r="AL34" s="18">
        <v>7363342076003992</v>
      </c>
      <c r="AM34" s="18">
        <v>7364000388686768</v>
      </c>
      <c r="AN34" s="18">
        <v>7364614802286192</v>
      </c>
      <c r="AO34" s="18">
        <v>7365185247576632</v>
      </c>
      <c r="AP34" s="18">
        <v>7365711969105304</v>
      </c>
      <c r="AQ34" s="18">
        <v>7366195014589768</v>
      </c>
      <c r="AR34" s="18">
        <v>7366634755341104</v>
      </c>
      <c r="AS34" s="18">
        <v>7367031373155224</v>
      </c>
      <c r="AT34" s="18">
        <v>7367385313164632</v>
      </c>
      <c r="AU34" s="18">
        <v>7367696791228504</v>
      </c>
      <c r="AV34" s="18">
        <v>7367966220858584</v>
      </c>
      <c r="AW34" s="18">
        <v>7368193757037944</v>
      </c>
      <c r="AX34" s="18">
        <v>7368379718015664</v>
      </c>
      <c r="AY34" s="18">
        <v>7368524161980352</v>
      </c>
      <c r="AZ34" s="18">
        <v>7368627306681832</v>
      </c>
      <c r="BA34" s="18">
        <v>7368689125409344</v>
      </c>
      <c r="BB34" s="18">
        <v>7368709760813528</v>
      </c>
      <c r="BE34" s="4">
        <f t="shared" si="2"/>
        <v>8.215566113764704E+17</v>
      </c>
      <c r="BF34" s="4">
        <f t="shared" si="2"/>
        <v>8.2184991362852506E+17</v>
      </c>
      <c r="BG34" s="4">
        <f t="shared" si="21"/>
        <v>8.225083249243177E+17</v>
      </c>
      <c r="BH34" s="4">
        <f t="shared" si="22"/>
        <v>8.232176025748384E+17</v>
      </c>
      <c r="BI34" s="4">
        <f t="shared" si="23"/>
        <v>8.238549146705065E+17</v>
      </c>
      <c r="BJ34" s="4">
        <f t="shared" si="24"/>
        <v>8.244070494813888E+17</v>
      </c>
      <c r="BK34" s="4">
        <f t="shared" si="25"/>
        <v>8.2488760395919718E+17</v>
      </c>
      <c r="BL34" s="4">
        <f t="shared" si="26"/>
        <v>8.253106684554409E+17</v>
      </c>
      <c r="BM34" s="4">
        <f t="shared" si="27"/>
        <v>8.256880706522135E+17</v>
      </c>
      <c r="BN34" s="4">
        <f t="shared" si="28"/>
        <v>8.2602840261261862E+17</v>
      </c>
      <c r="BO34" s="4">
        <f t="shared" si="29"/>
        <v>8.2633847484145485E+17</v>
      </c>
      <c r="BP34" s="4">
        <f t="shared" si="30"/>
        <v>8.266232479778519E+17</v>
      </c>
      <c r="BQ34" s="4">
        <f t="shared" si="31"/>
        <v>8.2688678278218355E+17</v>
      </c>
      <c r="BR34" s="4">
        <f t="shared" si="32"/>
        <v>8.2713208746680307E+17</v>
      </c>
      <c r="BS34" s="4">
        <f t="shared" si="33"/>
        <v>8.2736169493179366E+17</v>
      </c>
      <c r="BT34" s="4">
        <f t="shared" si="34"/>
        <v>8.2757747584607731E+17</v>
      </c>
      <c r="BU34" s="4">
        <f t="shared" si="35"/>
        <v>8.2778102260598246E+17</v>
      </c>
      <c r="BV34" s="4">
        <f t="shared" si="36"/>
        <v>8.279734720657769E+17</v>
      </c>
      <c r="BW34" s="4">
        <f t="shared" si="37"/>
        <v>8.2815578834798822E+17</v>
      </c>
      <c r="BX34" s="4">
        <f t="shared" si="38"/>
        <v>8.2832860930578227E+17</v>
      </c>
      <c r="BY34" s="4">
        <f t="shared" si="39"/>
        <v>8.2849247153534835E+17</v>
      </c>
      <c r="BZ34" s="4">
        <f t="shared" si="40"/>
        <v>8.2864767984759437E+17</v>
      </c>
      <c r="CA34" s="4">
        <f t="shared" si="41"/>
        <v>8.2879449447147994E+17</v>
      </c>
      <c r="CB34" s="4">
        <f t="shared" si="3"/>
        <v>8.2893301809861965E+17</v>
      </c>
      <c r="CC34" s="4">
        <f t="shared" si="4"/>
        <v>8.2906335526867354E+17</v>
      </c>
      <c r="CD34" s="4">
        <f t="shared" si="5"/>
        <v>8.2918551133435046E+17</v>
      </c>
      <c r="CE34" s="4">
        <f t="shared" si="6"/>
        <v>8.2929952926340736E+17</v>
      </c>
      <c r="CF34" s="4">
        <f t="shared" si="7"/>
        <v>8.2940539460478541E+17</v>
      </c>
      <c r="CG34" s="4">
        <f t="shared" si="8"/>
        <v>8.2950315125527667E+17</v>
      </c>
      <c r="CH34" s="4">
        <f t="shared" si="9"/>
        <v>8.2959280670253914E+17</v>
      </c>
      <c r="CI34" s="4">
        <f t="shared" si="10"/>
        <v>8.2967442861435098E+17</v>
      </c>
      <c r="CJ34" s="4">
        <f t="shared" si="11"/>
        <v>8.2974804960463296E+17</v>
      </c>
      <c r="CK34" s="4">
        <f t="shared" si="12"/>
        <v>8.2981375128783181E+17</v>
      </c>
      <c r="CL34" s="4">
        <f t="shared" si="13"/>
        <v>8.2987157283782515E+17</v>
      </c>
      <c r="CM34" s="4">
        <f t="shared" si="14"/>
        <v>8.299215902344777E+17</v>
      </c>
      <c r="CN34" s="4">
        <f t="shared" si="15"/>
        <v>8.2996383157671168E+17</v>
      </c>
      <c r="CO34" s="4">
        <f t="shared" si="16"/>
        <v>8.2999835538160781E+17</v>
      </c>
      <c r="CP34" s="4">
        <f t="shared" si="17"/>
        <v>8.3002517199256563E+17</v>
      </c>
      <c r="CQ34" s="4">
        <f t="shared" si="18"/>
        <v>8.3004432147996467E+17</v>
      </c>
      <c r="CR34" s="4">
        <f t="shared" si="19"/>
        <v>8.3005579863146918E+17</v>
      </c>
      <c r="CS34" s="4">
        <f t="shared" si="20"/>
        <v>8.3005962977960026E+17</v>
      </c>
      <c r="DN34" s="12"/>
      <c r="DO34" s="12"/>
      <c r="DP34" s="12"/>
      <c r="DQ34" s="12"/>
      <c r="DR34" s="12"/>
      <c r="DS34" s="12"/>
      <c r="DT34" s="12"/>
      <c r="DU34" s="12"/>
      <c r="DV34" s="12"/>
      <c r="DW34" s="12"/>
      <c r="DX34" s="12"/>
      <c r="DY34" s="12"/>
      <c r="DZ34" s="12"/>
      <c r="EA34" s="12"/>
      <c r="EB34" s="12"/>
      <c r="EC34" s="12"/>
      <c r="ED34" s="12"/>
      <c r="EE34" s="12"/>
      <c r="EF34" s="12"/>
      <c r="EG34" s="12"/>
      <c r="EH34" s="12"/>
      <c r="EI34" s="12"/>
    </row>
    <row r="35" spans="1:139" ht="15" customHeight="1">
      <c r="A35" s="21"/>
      <c r="B35" s="17"/>
      <c r="C35" s="17"/>
      <c r="D35" s="22"/>
      <c r="E35" s="31"/>
      <c r="F35" s="31"/>
      <c r="H35" s="23">
        <v>0</v>
      </c>
      <c r="I35" s="23">
        <v>0.12375000000000001</v>
      </c>
      <c r="J35" s="19">
        <v>7315701538909768</v>
      </c>
      <c r="M35" s="131">
        <v>0.12000000000000002</v>
      </c>
      <c r="N35" s="18">
        <v>7319320516983488</v>
      </c>
      <c r="O35" s="18">
        <v>7321196178581720</v>
      </c>
      <c r="P35" s="18">
        <v>7325244370287656</v>
      </c>
      <c r="Q35" s="18">
        <v>7329406389621344</v>
      </c>
      <c r="R35" s="18">
        <v>7333029479974224</v>
      </c>
      <c r="S35" s="18">
        <v>7336111755633432</v>
      </c>
      <c r="T35" s="18">
        <v>7338767679329856</v>
      </c>
      <c r="U35" s="18">
        <v>7341090452096464</v>
      </c>
      <c r="V35" s="18">
        <v>7343153971220432</v>
      </c>
      <c r="W35" s="18">
        <v>7345008695474328</v>
      </c>
      <c r="X35" s="18">
        <v>7346694789509072</v>
      </c>
      <c r="Y35" s="18">
        <v>7348240256172992</v>
      </c>
      <c r="Z35" s="18">
        <v>7349668569621080</v>
      </c>
      <c r="AA35" s="18">
        <v>7350996395008720</v>
      </c>
      <c r="AB35" s="18">
        <v>7352238270056944</v>
      </c>
      <c r="AC35" s="18">
        <v>7353404428916232</v>
      </c>
      <c r="AD35" s="18">
        <v>7354503997740840</v>
      </c>
      <c r="AE35" s="18">
        <v>7355543113053616</v>
      </c>
      <c r="AF35" s="18">
        <v>7356527317250536</v>
      </c>
      <c r="AG35" s="18">
        <v>7357459981970352</v>
      </c>
      <c r="AH35" s="18">
        <v>7358344226728752</v>
      </c>
      <c r="AI35" s="18">
        <v>7359181592433920</v>
      </c>
      <c r="AJ35" s="18">
        <v>7359973640516496</v>
      </c>
      <c r="AK35" s="18">
        <v>7360720811963408</v>
      </c>
      <c r="AL35" s="18">
        <v>7361423792582336</v>
      </c>
      <c r="AM35" s="18">
        <v>7362082503739712</v>
      </c>
      <c r="AN35" s="18">
        <v>7362697284232368</v>
      </c>
      <c r="AO35" s="18">
        <v>7363267964102136</v>
      </c>
      <c r="AP35" s="18">
        <v>7363794885801288</v>
      </c>
      <c r="AQ35" s="18">
        <v>7364278016271192</v>
      </c>
      <c r="AR35" s="18">
        <v>7364717827193216</v>
      </c>
      <c r="AS35" s="18">
        <v>7365114432356912</v>
      </c>
      <c r="AT35" s="18">
        <v>7365468373027720</v>
      </c>
      <c r="AU35" s="18">
        <v>7365779799341568</v>
      </c>
      <c r="AV35" s="18">
        <v>7366049211241952</v>
      </c>
      <c r="AW35" s="18">
        <v>7366276695103512</v>
      </c>
      <c r="AX35" s="18">
        <v>7366462646241592</v>
      </c>
      <c r="AY35" s="18">
        <v>7366607051540424</v>
      </c>
      <c r="AZ35" s="18">
        <v>7366710200129032</v>
      </c>
      <c r="BA35" s="18">
        <v>7366771993470968</v>
      </c>
      <c r="BB35" s="18">
        <v>7366792643962672</v>
      </c>
      <c r="BE35" s="4">
        <f t="shared" si="2"/>
        <v>8.2067838197814221E+17</v>
      </c>
      <c r="BF35" s="4">
        <f t="shared" si="2"/>
        <v>8.2102471532012749E+17</v>
      </c>
      <c r="BG35" s="4">
        <f t="shared" si="21"/>
        <v>8.217724351216352E+17</v>
      </c>
      <c r="BH35" s="4">
        <f t="shared" si="22"/>
        <v>8.2254151790009242E+17</v>
      </c>
      <c r="BI35" s="4">
        <f t="shared" si="23"/>
        <v>8.232112935638295E+17</v>
      </c>
      <c r="BJ35" s="4">
        <f t="shared" si="24"/>
        <v>8.2378129728163981E+17</v>
      </c>
      <c r="BK35" s="4">
        <f t="shared" si="25"/>
        <v>8.2427260690509978E+17</v>
      </c>
      <c r="BL35" s="4">
        <f t="shared" si="26"/>
        <v>8.2470240270734835E+17</v>
      </c>
      <c r="BM35" s="4">
        <f t="shared" si="27"/>
        <v>8.2508431699733133E+17</v>
      </c>
      <c r="BN35" s="4">
        <f t="shared" si="28"/>
        <v>8.2542765970463578E+17</v>
      </c>
      <c r="BO35" s="4">
        <f t="shared" si="29"/>
        <v>8.2573984507358989E+17</v>
      </c>
      <c r="BP35" s="4">
        <f t="shared" si="30"/>
        <v>8.2602604233430029E+17</v>
      </c>
      <c r="BQ35" s="4">
        <f t="shared" si="31"/>
        <v>8.2629058664952499E+17</v>
      </c>
      <c r="BR35" s="4">
        <f t="shared" si="32"/>
        <v>8.2653655537343629E+17</v>
      </c>
      <c r="BS35" s="4">
        <f t="shared" si="33"/>
        <v>8.2676663411570995E+17</v>
      </c>
      <c r="BT35" s="4">
        <f t="shared" si="34"/>
        <v>8.2698271294635674E+17</v>
      </c>
      <c r="BU35" s="4">
        <f t="shared" si="35"/>
        <v>8.2718647791589568E+17</v>
      </c>
      <c r="BV35" s="4">
        <f t="shared" si="36"/>
        <v>8.2737906204601203E+17</v>
      </c>
      <c r="BW35" s="4">
        <f t="shared" si="37"/>
        <v>8.2756148896632166E+17</v>
      </c>
      <c r="BX35" s="4">
        <f t="shared" si="38"/>
        <v>8.2773438050910822E+17</v>
      </c>
      <c r="BY35" s="4">
        <f t="shared" si="39"/>
        <v>8.2789831217709363E+17</v>
      </c>
      <c r="BZ35" s="4">
        <f t="shared" si="40"/>
        <v>8.280535671362903E+17</v>
      </c>
      <c r="CA35" s="4">
        <f t="shared" si="41"/>
        <v>8.2820043259402099E+17</v>
      </c>
      <c r="CB35" s="4">
        <f t="shared" si="3"/>
        <v>8.2833898819694003E+17</v>
      </c>
      <c r="CC35" s="4">
        <f t="shared" si="4"/>
        <v>8.2846935914311987E+17</v>
      </c>
      <c r="CD35" s="4">
        <f t="shared" si="5"/>
        <v>8.2859152900170726E+17</v>
      </c>
      <c r="CE35" s="4">
        <f t="shared" si="6"/>
        <v>8.2870555888188339E+17</v>
      </c>
      <c r="CF35" s="4">
        <f t="shared" si="7"/>
        <v>8.2881141565157171E+17</v>
      </c>
      <c r="CG35" s="4">
        <f t="shared" si="8"/>
        <v>8.2890916134278067E+17</v>
      </c>
      <c r="CH35" s="4">
        <f t="shared" si="9"/>
        <v>8.2899878845216602E+17</v>
      </c>
      <c r="CI35" s="4">
        <f t="shared" si="10"/>
        <v>8.2908038323180902E+17</v>
      </c>
      <c r="CJ35" s="4">
        <f t="shared" si="11"/>
        <v>8.2915396566125491E+17</v>
      </c>
      <c r="CK35" s="4">
        <f t="shared" si="12"/>
        <v>8.2921963514933798E+17</v>
      </c>
      <c r="CL35" s="4">
        <f t="shared" si="13"/>
        <v>8.2927741865595814E+17</v>
      </c>
      <c r="CM35" s="4">
        <f t="shared" si="14"/>
        <v>8.2932740816028864E+17</v>
      </c>
      <c r="CN35" s="4">
        <f t="shared" si="15"/>
        <v>8.2936961901706291E+17</v>
      </c>
      <c r="CO35" s="4">
        <f t="shared" si="16"/>
        <v>8.2940412401464307E+17</v>
      </c>
      <c r="CP35" s="4">
        <f t="shared" si="17"/>
        <v>8.2943092026020186E+17</v>
      </c>
      <c r="CQ35" s="4">
        <f t="shared" si="18"/>
        <v>8.294500610497536E+17</v>
      </c>
      <c r="CR35" s="4">
        <f t="shared" si="19"/>
        <v>8.2946152784521485E+17</v>
      </c>
      <c r="CS35" s="4">
        <f t="shared" si="20"/>
        <v>8.2946535990865766E+17</v>
      </c>
      <c r="DN35" s="12"/>
      <c r="DO35" s="12"/>
      <c r="DP35" s="12"/>
      <c r="DQ35" s="12"/>
      <c r="DR35" s="12"/>
      <c r="DS35" s="12"/>
      <c r="DT35" s="12"/>
      <c r="DU35" s="12"/>
      <c r="DV35" s="12"/>
      <c r="DW35" s="12"/>
      <c r="DX35" s="12"/>
      <c r="DY35" s="12"/>
      <c r="DZ35" s="12"/>
      <c r="EA35" s="12"/>
      <c r="EB35" s="12"/>
      <c r="EC35" s="12"/>
      <c r="ED35" s="12"/>
      <c r="EE35" s="12"/>
      <c r="EF35" s="12"/>
      <c r="EG35" s="12"/>
      <c r="EH35" s="12"/>
      <c r="EI35" s="12"/>
    </row>
    <row r="36" spans="1:139" ht="15" customHeight="1">
      <c r="A36" s="21"/>
      <c r="B36" s="17"/>
      <c r="C36" s="17"/>
      <c r="D36" s="22"/>
      <c r="E36" s="31"/>
      <c r="F36" s="31"/>
      <c r="H36" s="23">
        <v>0</v>
      </c>
      <c r="I36" s="23">
        <v>0.12750000000000003</v>
      </c>
      <c r="J36" s="19">
        <v>7311903738065032</v>
      </c>
      <c r="M36" s="131">
        <v>0.12375000000000001</v>
      </c>
      <c r="N36" s="18">
        <v>7315701538909768</v>
      </c>
      <c r="O36" s="18">
        <v>7317944438366296</v>
      </c>
      <c r="P36" s="18">
        <v>7322567017849512</v>
      </c>
      <c r="Q36" s="18">
        <v>7327076488382344</v>
      </c>
      <c r="R36" s="18">
        <v>7330875574205544</v>
      </c>
      <c r="S36" s="18">
        <v>7334051084137744</v>
      </c>
      <c r="T36" s="18">
        <v>7336762838287752</v>
      </c>
      <c r="U36" s="18">
        <v>7339120157021640</v>
      </c>
      <c r="V36" s="18">
        <v>7341207141397408</v>
      </c>
      <c r="W36" s="18">
        <v>7343077422495504</v>
      </c>
      <c r="X36" s="18">
        <v>7344774693285288</v>
      </c>
      <c r="Y36" s="18">
        <v>7346327659846648</v>
      </c>
      <c r="Z36" s="18">
        <v>7347761496598912</v>
      </c>
      <c r="AA36" s="18">
        <v>7349092969000600</v>
      </c>
      <c r="AB36" s="18">
        <v>7350337616678408</v>
      </c>
      <c r="AC36" s="18">
        <v>7351505584813744</v>
      </c>
      <c r="AD36" s="18">
        <v>7352606648281352</v>
      </c>
      <c r="AE36" s="18">
        <v>7353646774235728</v>
      </c>
      <c r="AF36" s="18">
        <v>7354631942554416</v>
      </c>
      <c r="AG36" s="18">
        <v>7355565317754528</v>
      </c>
      <c r="AH36" s="18">
        <v>7356450325602088</v>
      </c>
      <c r="AI36" s="18">
        <v>7357288288755328</v>
      </c>
      <c r="AJ36" s="18">
        <v>7358080996050848</v>
      </c>
      <c r="AK36" s="18">
        <v>7358828676843792</v>
      </c>
      <c r="AL36" s="18">
        <v>7359532199933272</v>
      </c>
      <c r="AM36" s="18">
        <v>7360191292908368</v>
      </c>
      <c r="AN36" s="18">
        <v>7360806457023192</v>
      </c>
      <c r="AO36" s="18">
        <v>7361377354655416</v>
      </c>
      <c r="AP36" s="18">
        <v>7361904486550400</v>
      </c>
      <c r="AQ36" s="18">
        <v>7362387679891568</v>
      </c>
      <c r="AR36" s="18">
        <v>7362827564141704</v>
      </c>
      <c r="AS36" s="18">
        <v>7363224131648352</v>
      </c>
      <c r="AT36" s="18">
        <v>7363578073926360</v>
      </c>
      <c r="AU36" s="18">
        <v>7363889425026192</v>
      </c>
      <c r="AV36" s="18">
        <v>7364158822072872</v>
      </c>
      <c r="AW36" s="18">
        <v>7364386234159136</v>
      </c>
      <c r="AX36" s="18">
        <v>7364572181754488</v>
      </c>
      <c r="AY36" s="18">
        <v>7364716532900264</v>
      </c>
      <c r="AZ36" s="18">
        <v>7364819694562952</v>
      </c>
      <c r="BA36" s="18">
        <v>7364881449727736</v>
      </c>
      <c r="BB36" s="18">
        <v>7364902126378184</v>
      </c>
      <c r="BE36" s="4">
        <f t="shared" si="2"/>
        <v>8.1977475826058432E+17</v>
      </c>
      <c r="BF36" s="4">
        <f t="shared" si="2"/>
        <v>8.2018862900134118E+17</v>
      </c>
      <c r="BG36" s="4">
        <f t="shared" si="21"/>
        <v>8.2104192417718733E+17</v>
      </c>
      <c r="BH36" s="4">
        <f t="shared" si="22"/>
        <v>8.2187474805165005E+17</v>
      </c>
      <c r="BI36" s="4">
        <f t="shared" si="23"/>
        <v>8.2257668831798195E+17</v>
      </c>
      <c r="BJ36" s="4">
        <f t="shared" si="24"/>
        <v>8.2316363255367782E+17</v>
      </c>
      <c r="BK36" s="4">
        <f t="shared" si="25"/>
        <v>8.2366501675225254E+17</v>
      </c>
      <c r="BL36" s="4">
        <f t="shared" si="26"/>
        <v>8.2410098667700851E+17</v>
      </c>
      <c r="BM36" s="4">
        <f t="shared" si="27"/>
        <v>8.2448705196733414E+17</v>
      </c>
      <c r="BN36" s="4">
        <f t="shared" si="28"/>
        <v>8.2483310322851226E+17</v>
      </c>
      <c r="BO36" s="4">
        <f t="shared" si="29"/>
        <v>8.2514720298837146E+17</v>
      </c>
      <c r="BP36" s="4">
        <f t="shared" si="30"/>
        <v>8.2543464755169498E+17</v>
      </c>
      <c r="BQ36" s="4">
        <f t="shared" si="31"/>
        <v>8.257000843292553E+17</v>
      </c>
      <c r="BR36" s="4">
        <f t="shared" si="32"/>
        <v>8.2594660752849907E+17</v>
      </c>
      <c r="BS36" s="4">
        <f t="shared" si="33"/>
        <v>8.2617708681131725E+17</v>
      </c>
      <c r="BT36" s="4">
        <f t="shared" si="34"/>
        <v>8.2639339476289114E+17</v>
      </c>
      <c r="BU36" s="4">
        <f t="shared" si="35"/>
        <v>8.2659733669609984E+17</v>
      </c>
      <c r="BV36" s="4">
        <f t="shared" si="36"/>
        <v>8.2679001367395878E+17</v>
      </c>
      <c r="BW36" s="4">
        <f t="shared" si="37"/>
        <v>8.2697252984417523E+17</v>
      </c>
      <c r="BX36" s="4">
        <f t="shared" si="38"/>
        <v>8.2714546834998106E+17</v>
      </c>
      <c r="BY36" s="4">
        <f t="shared" si="39"/>
        <v>8.273094611466432E+17</v>
      </c>
      <c r="BZ36" s="4">
        <f t="shared" si="40"/>
        <v>8.2746475081415808E+17</v>
      </c>
      <c r="CA36" s="4">
        <f t="shared" si="41"/>
        <v>8.2761166655676147E+17</v>
      </c>
      <c r="CB36" s="4">
        <f t="shared" si="3"/>
        <v>8.2775024875544077E+17</v>
      </c>
      <c r="CC36" s="4">
        <f t="shared" si="4"/>
        <v>8.2788065645984602E+17</v>
      </c>
      <c r="CD36" s="4">
        <f t="shared" si="5"/>
        <v>8.2800283732356685E+17</v>
      </c>
      <c r="CE36" s="4">
        <f t="shared" si="6"/>
        <v>8.2811688253717133E+17</v>
      </c>
      <c r="CF36" s="4">
        <f t="shared" si="7"/>
        <v>8.2822272789737011E+17</v>
      </c>
      <c r="CG36" s="4">
        <f t="shared" si="8"/>
        <v>8.2832046474967706E+17</v>
      </c>
      <c r="CH36" s="4">
        <f t="shared" si="9"/>
        <v>8.2841005967841818E+17</v>
      </c>
      <c r="CI36" s="4">
        <f t="shared" si="10"/>
        <v>8.2849162814719872E+17</v>
      </c>
      <c r="CJ36" s="4">
        <f t="shared" si="11"/>
        <v>8.2856516760497114E+17</v>
      </c>
      <c r="CK36" s="4">
        <f t="shared" si="12"/>
        <v>8.286308052731113E+17</v>
      </c>
      <c r="CL36" s="4">
        <f t="shared" si="13"/>
        <v>8.2868854657010598E+17</v>
      </c>
      <c r="CM36" s="4">
        <f t="shared" si="14"/>
        <v>8.287385088707657E+17</v>
      </c>
      <c r="CN36" s="4">
        <f t="shared" si="15"/>
        <v>8.2878068577127142E+17</v>
      </c>
      <c r="CO36" s="4">
        <f t="shared" si="16"/>
        <v>8.2881517323609434E+17</v>
      </c>
      <c r="CP36" s="4">
        <f t="shared" si="17"/>
        <v>8.2884194633229222E+17</v>
      </c>
      <c r="CQ36" s="4">
        <f t="shared" si="18"/>
        <v>8.2886108018539942E+17</v>
      </c>
      <c r="CR36" s="4">
        <f t="shared" si="19"/>
        <v>8.2887253429175155E+17</v>
      </c>
      <c r="CS36" s="4">
        <f t="shared" si="20"/>
        <v>8.2887636933285952E+17</v>
      </c>
      <c r="DN36" s="12"/>
      <c r="DO36" s="12"/>
      <c r="DP36" s="12"/>
      <c r="DQ36" s="12"/>
      <c r="DR36" s="12"/>
      <c r="DS36" s="12"/>
      <c r="DT36" s="12"/>
      <c r="DU36" s="12"/>
      <c r="DV36" s="12"/>
      <c r="DW36" s="12"/>
      <c r="DX36" s="12"/>
      <c r="DY36" s="12"/>
      <c r="DZ36" s="12"/>
      <c r="EA36" s="12"/>
      <c r="EB36" s="12"/>
      <c r="EC36" s="12"/>
      <c r="ED36" s="12"/>
      <c r="EE36" s="12"/>
      <c r="EF36" s="12"/>
      <c r="EG36" s="12"/>
      <c r="EH36" s="12"/>
      <c r="EI36" s="12"/>
    </row>
    <row r="37" spans="1:139" ht="15" customHeight="1">
      <c r="A37" s="21"/>
      <c r="B37" s="17"/>
      <c r="C37" s="17"/>
      <c r="D37" s="22"/>
      <c r="E37" s="31"/>
      <c r="F37" s="31"/>
      <c r="H37" s="23">
        <v>0</v>
      </c>
      <c r="I37" s="23">
        <v>0.13125000000000003</v>
      </c>
      <c r="J37" s="19">
        <v>7307882063319136</v>
      </c>
      <c r="M37" s="131">
        <v>0.12750000000000003</v>
      </c>
      <c r="N37" s="18">
        <v>7311903738065032</v>
      </c>
      <c r="O37" s="18">
        <v>7314621654287808</v>
      </c>
      <c r="P37" s="18">
        <v>7319925094083264</v>
      </c>
      <c r="Q37" s="18">
        <v>7324799336940704</v>
      </c>
      <c r="R37" s="18">
        <v>7328769433264728</v>
      </c>
      <c r="S37" s="18">
        <v>7332031490044096</v>
      </c>
      <c r="T37" s="18">
        <v>7334794880007008</v>
      </c>
      <c r="U37" s="18">
        <v>7337183340236800</v>
      </c>
      <c r="V37" s="18">
        <v>7339291757481520</v>
      </c>
      <c r="W37" s="18">
        <v>7341175816645336</v>
      </c>
      <c r="X37" s="18">
        <v>7342883184167848</v>
      </c>
      <c r="Y37" s="18">
        <v>7344442619105080</v>
      </c>
      <c r="Z37" s="18">
        <v>7345881354756320</v>
      </c>
      <c r="AA37" s="18">
        <v>7347215833669592</v>
      </c>
      <c r="AB37" s="18">
        <v>7348462882416464</v>
      </c>
      <c r="AC37" s="18">
        <v>7349632254255664</v>
      </c>
      <c r="AD37" s="18">
        <v>7350734600751648</v>
      </c>
      <c r="AE37" s="18">
        <v>7351775486760080</v>
      </c>
      <c r="AF37" s="18">
        <v>7352761514977296</v>
      </c>
      <c r="AG37" s="18">
        <v>7353695454481016</v>
      </c>
      <c r="AH37" s="18">
        <v>7354581191508264</v>
      </c>
      <c r="AI37" s="18">
        <v>7355419672942784</v>
      </c>
      <c r="AJ37" s="18">
        <v>7356213046729192</v>
      </c>
      <c r="AK37" s="18">
        <v>7356961195515032</v>
      </c>
      <c r="AL37" s="18">
        <v>7357665286403128</v>
      </c>
      <c r="AM37" s="18">
        <v>7358324735143624</v>
      </c>
      <c r="AN37" s="18">
        <v>7358940309106320</v>
      </c>
      <c r="AO37" s="18">
        <v>7359511398718608</v>
      </c>
      <c r="AP37" s="18">
        <v>7360038758959616</v>
      </c>
      <c r="AQ37" s="18">
        <v>7360521984312432</v>
      </c>
      <c r="AR37" s="18">
        <v>7360961952249320</v>
      </c>
      <c r="AS37" s="18">
        <v>7361358448811184</v>
      </c>
      <c r="AT37" s="18">
        <v>7361712400492616</v>
      </c>
      <c r="AU37" s="18">
        <v>7362023645283104</v>
      </c>
      <c r="AV37" s="18">
        <v>7362293037151200</v>
      </c>
      <c r="AW37" s="18">
        <v>7362520350942448</v>
      </c>
      <c r="AX37" s="18">
        <v>7362706308083648</v>
      </c>
      <c r="AY37" s="18">
        <v>7362850582875448</v>
      </c>
      <c r="AZ37" s="18">
        <v>7362953773531696</v>
      </c>
      <c r="BA37" s="18">
        <v>7363015471130184</v>
      </c>
      <c r="BB37" s="18">
        <v>7363036191649192</v>
      </c>
      <c r="BE37" s="4">
        <f t="shared" si="2"/>
        <v>8.1883887467923405E+17</v>
      </c>
      <c r="BF37" s="4">
        <f t="shared" si="2"/>
        <v>8.1934006214539904E+17</v>
      </c>
      <c r="BG37" s="4">
        <f t="shared" si="21"/>
        <v>8.203184448429943E+17</v>
      </c>
      <c r="BH37" s="4">
        <f t="shared" si="22"/>
        <v>8.2121814007653862E+17</v>
      </c>
      <c r="BI37" s="4">
        <f t="shared" si="23"/>
        <v>8.2195129416933043E+17</v>
      </c>
      <c r="BJ37" s="4">
        <f t="shared" si="24"/>
        <v>8.2255392879682675E+17</v>
      </c>
      <c r="BK37" s="4">
        <f t="shared" si="25"/>
        <v>8.230646042118825E+17</v>
      </c>
      <c r="BL37" s="4">
        <f t="shared" si="26"/>
        <v>8.2350611430195507E+17</v>
      </c>
      <c r="BM37" s="4">
        <f t="shared" si="27"/>
        <v>8.2389595193327859E+17</v>
      </c>
      <c r="BN37" s="4">
        <f t="shared" si="28"/>
        <v>8.2424438115096166E+17</v>
      </c>
      <c r="BO37" s="4">
        <f t="shared" si="29"/>
        <v>8.2456019453617318E+17</v>
      </c>
      <c r="BP37" s="4">
        <f t="shared" si="30"/>
        <v>8.2484869512507776E+17</v>
      </c>
      <c r="BQ37" s="4">
        <f t="shared" si="31"/>
        <v>8.2511490865346765E+17</v>
      </c>
      <c r="BR37" s="4">
        <f t="shared" si="32"/>
        <v>8.2536186788578726E+17</v>
      </c>
      <c r="BS37" s="4">
        <f t="shared" si="33"/>
        <v>8.2559267912528627E+17</v>
      </c>
      <c r="BT37" s="4">
        <f t="shared" si="34"/>
        <v>8.2580914143238579E+17</v>
      </c>
      <c r="BU37" s="4">
        <f t="shared" si="35"/>
        <v>8.2601322147635917E+17</v>
      </c>
      <c r="BV37" s="4">
        <f t="shared" si="36"/>
        <v>8.2620594527861197E+17</v>
      </c>
      <c r="BW37" s="4">
        <f t="shared" si="37"/>
        <v>8.263885317487287E+17</v>
      </c>
      <c r="BX37" s="4">
        <f t="shared" si="38"/>
        <v>8.2656149051216768E+17</v>
      </c>
      <c r="BY37" s="4">
        <f t="shared" si="39"/>
        <v>8.2672553848587738E+17</v>
      </c>
      <c r="BZ37" s="4">
        <f t="shared" si="40"/>
        <v>8.2688084853082202E+17</v>
      </c>
      <c r="CA37" s="4">
        <f t="shared" si="41"/>
        <v>8.2702781620392896E+17</v>
      </c>
      <c r="CB37" s="4">
        <f t="shared" si="3"/>
        <v>8.2716641763796109E+17</v>
      </c>
      <c r="CC37" s="4">
        <f t="shared" si="4"/>
        <v>8.2729686706455002E+17</v>
      </c>
      <c r="CD37" s="4">
        <f t="shared" si="5"/>
        <v>8.2741905438331853E+17</v>
      </c>
      <c r="CE37" s="4">
        <f t="shared" si="6"/>
        <v>8.2753312004364109E+17</v>
      </c>
      <c r="CF37" s="4">
        <f t="shared" si="7"/>
        <v>8.2763894947702054E+17</v>
      </c>
      <c r="CG37" s="4">
        <f t="shared" si="8"/>
        <v>8.2773668109284557E+17</v>
      </c>
      <c r="CH37" s="4">
        <f t="shared" si="9"/>
        <v>8.2782623836396582E+17</v>
      </c>
      <c r="CI37" s="4">
        <f t="shared" si="10"/>
        <v>8.279077826593568E+17</v>
      </c>
      <c r="CJ37" s="4">
        <f t="shared" si="11"/>
        <v>8.2798127319043136E+17</v>
      </c>
      <c r="CK37" s="4">
        <f t="shared" si="12"/>
        <v>8.2804688066900787E+17</v>
      </c>
      <c r="CL37" s="4">
        <f t="shared" si="13"/>
        <v>8.2810457416922278E+17</v>
      </c>
      <c r="CM37" s="4">
        <f t="shared" si="14"/>
        <v>8.2815451120350746E+17</v>
      </c>
      <c r="CN37" s="4">
        <f t="shared" si="15"/>
        <v>8.2819664936375936E+17</v>
      </c>
      <c r="CO37" s="4">
        <f t="shared" si="16"/>
        <v>8.2823112182016858E+17</v>
      </c>
      <c r="CP37" s="4">
        <f t="shared" si="17"/>
        <v>8.2825786773672883E+17</v>
      </c>
      <c r="CQ37" s="4">
        <f t="shared" si="18"/>
        <v>8.2827699765624512E+17</v>
      </c>
      <c r="CR37" s="4">
        <f t="shared" si="19"/>
        <v>8.2828843551824832E+17</v>
      </c>
      <c r="CS37" s="4">
        <f t="shared" si="20"/>
        <v>8.2829227682627238E+17</v>
      </c>
      <c r="DN37" s="12"/>
      <c r="DO37" s="12"/>
      <c r="DP37" s="12"/>
      <c r="DQ37" s="12"/>
      <c r="DR37" s="12"/>
      <c r="DS37" s="12"/>
      <c r="DT37" s="12"/>
      <c r="DU37" s="12"/>
      <c r="DV37" s="12"/>
      <c r="DW37" s="12"/>
      <c r="DX37" s="12"/>
      <c r="DY37" s="12"/>
      <c r="DZ37" s="12"/>
      <c r="EA37" s="12"/>
      <c r="EB37" s="12"/>
      <c r="EC37" s="12"/>
      <c r="ED37" s="12"/>
      <c r="EE37" s="12"/>
      <c r="EF37" s="12"/>
      <c r="EG37" s="12"/>
      <c r="EH37" s="12"/>
      <c r="EI37" s="12"/>
    </row>
    <row r="38" spans="1:139" ht="15" customHeight="1">
      <c r="A38" s="21"/>
      <c r="B38" s="17"/>
      <c r="C38" s="17"/>
      <c r="D38" s="22"/>
      <c r="E38" s="31"/>
      <c r="F38" s="31"/>
      <c r="H38" s="23">
        <v>0</v>
      </c>
      <c r="I38" s="23">
        <v>0.13500000000000001</v>
      </c>
      <c r="J38" s="19">
        <v>7303571146000680</v>
      </c>
      <c r="M38" s="131">
        <v>0.13125000000000003</v>
      </c>
      <c r="N38" s="18">
        <v>7307882063319136</v>
      </c>
      <c r="O38" s="18">
        <v>7311224430444256</v>
      </c>
      <c r="P38" s="18">
        <v>7317335557016560</v>
      </c>
      <c r="Q38" s="18">
        <v>7322584225998128</v>
      </c>
      <c r="R38" s="18">
        <v>7326716184859288</v>
      </c>
      <c r="S38" s="18">
        <v>7330056227673504</v>
      </c>
      <c r="T38" s="18">
        <v>7332866568198552</v>
      </c>
      <c r="U38" s="18">
        <v>7335282323715904</v>
      </c>
      <c r="V38" s="18">
        <v>7337410087303696</v>
      </c>
      <c r="W38" s="18">
        <v>7339305972674656</v>
      </c>
      <c r="X38" s="18">
        <v>7341022369898848</v>
      </c>
      <c r="Y38" s="18">
        <v>7342587148474992</v>
      </c>
      <c r="Z38" s="18">
        <v>7344030181552728</v>
      </c>
      <c r="AA38" s="18">
        <v>7345366966810640</v>
      </c>
      <c r="AB38" s="18">
        <v>7346616068085096</v>
      </c>
      <c r="AC38" s="18">
        <v>7347786396639616</v>
      </c>
      <c r="AD38" s="18">
        <v>7348889836362040</v>
      </c>
      <c r="AE38" s="18">
        <v>7349931201833544</v>
      </c>
      <c r="AF38" s="18">
        <v>7350918006189336</v>
      </c>
      <c r="AG38" s="18">
        <v>7351852341186672</v>
      </c>
      <c r="AH38" s="18">
        <v>7352738792405400</v>
      </c>
      <c r="AI38" s="18">
        <v>7353577695001560</v>
      </c>
      <c r="AJ38" s="18">
        <v>7354371759767184</v>
      </c>
      <c r="AK38" s="18">
        <v>7355120320133776</v>
      </c>
      <c r="AL38" s="18">
        <v>7355825019562344</v>
      </c>
      <c r="AM38" s="18">
        <v>7356484784589904</v>
      </c>
      <c r="AN38" s="18">
        <v>7357100808138872</v>
      </c>
      <c r="AO38" s="18">
        <v>7357672051249344</v>
      </c>
      <c r="AP38" s="18">
        <v>7358199669687592</v>
      </c>
      <c r="AQ38" s="18">
        <v>7358682883933352</v>
      </c>
      <c r="AR38" s="18">
        <v>7359122956381456</v>
      </c>
      <c r="AS38" s="18">
        <v>7359519337133160</v>
      </c>
      <c r="AT38" s="18">
        <v>7359873315944256</v>
      </c>
      <c r="AU38" s="18">
        <v>7360184412603888</v>
      </c>
      <c r="AV38" s="18">
        <v>7360453818734448</v>
      </c>
      <c r="AW38" s="18">
        <v>7360680997708648</v>
      </c>
      <c r="AX38" s="18">
        <v>7360866987166496</v>
      </c>
      <c r="AY38" s="18">
        <v>7361011153844176</v>
      </c>
      <c r="AZ38" s="18">
        <v>7361114398984536</v>
      </c>
      <c r="BA38" s="18">
        <v>7361176010225664</v>
      </c>
      <c r="BB38" s="18">
        <v>7361196801767936</v>
      </c>
      <c r="BE38" s="4">
        <f t="shared" si="2"/>
        <v>8.178624992469481E+17</v>
      </c>
      <c r="BF38" s="4">
        <f t="shared" si="2"/>
        <v>8.1847841382281856E+17</v>
      </c>
      <c r="BG38" s="4">
        <f t="shared" si="21"/>
        <v>8.1960511321101888E+17</v>
      </c>
      <c r="BH38" s="4">
        <f t="shared" si="22"/>
        <v>8.2057339266805402E+17</v>
      </c>
      <c r="BI38" s="4">
        <f t="shared" si="23"/>
        <v>8.2133604399240026E+17</v>
      </c>
      <c r="BJ38" s="4">
        <f t="shared" si="24"/>
        <v>8.2195277536703616E+17</v>
      </c>
      <c r="BK38" s="4">
        <f t="shared" si="25"/>
        <v>8.2247186947627136E+17</v>
      </c>
      <c r="BL38" s="4">
        <f t="shared" si="26"/>
        <v>8.2291820528525018E+17</v>
      </c>
      <c r="BM38" s="4">
        <f t="shared" si="27"/>
        <v>8.2331142728807027E+17</v>
      </c>
      <c r="BN38" s="4">
        <f t="shared" si="28"/>
        <v>8.2366187246460019E+17</v>
      </c>
      <c r="BO38" s="4">
        <f t="shared" si="29"/>
        <v>8.2397920149449446E+17</v>
      </c>
      <c r="BP38" s="4">
        <f t="shared" si="30"/>
        <v>8.2426854995001651E+17</v>
      </c>
      <c r="BQ38" s="4">
        <f t="shared" si="31"/>
        <v>8.2453542899408256E+17</v>
      </c>
      <c r="BR38" s="4">
        <f t="shared" si="32"/>
        <v>8.247826950123168E+17</v>
      </c>
      <c r="BS38" s="4">
        <f t="shared" si="33"/>
        <v>8.2501377403637453E+17</v>
      </c>
      <c r="BT38" s="4">
        <f t="shared" si="34"/>
        <v>8.252303084282656E+17</v>
      </c>
      <c r="BU38" s="4">
        <f t="shared" si="35"/>
        <v>8.2543449186831834E+17</v>
      </c>
      <c r="BV38" s="4">
        <f t="shared" si="36"/>
        <v>8.2562721102822054E+17</v>
      </c>
      <c r="BW38" s="4">
        <f t="shared" si="37"/>
        <v>8.2580985270313165E+17</v>
      </c>
      <c r="BX38" s="4">
        <f t="shared" si="38"/>
        <v>8.259828009056512E+17</v>
      </c>
      <c r="BY38" s="4">
        <f t="shared" si="39"/>
        <v>8.2614690165181466E+17</v>
      </c>
      <c r="BZ38" s="4">
        <f t="shared" si="40"/>
        <v>8.2630221447396262E+17</v>
      </c>
      <c r="CA38" s="4">
        <f t="shared" si="41"/>
        <v>8.264492389392992E+17</v>
      </c>
      <c r="CB38" s="4">
        <f t="shared" si="3"/>
        <v>8.2658784950045133E+17</v>
      </c>
      <c r="CC38" s="4">
        <f t="shared" si="4"/>
        <v>8.2671834848863808E+17</v>
      </c>
      <c r="CD38" s="4">
        <f t="shared" si="5"/>
        <v>8.2684053525883917E+17</v>
      </c>
      <c r="CE38" s="4">
        <f t="shared" si="6"/>
        <v>8.2695462899904691E+17</v>
      </c>
      <c r="CF38" s="4">
        <f t="shared" si="7"/>
        <v>8.2706043566526464E+17</v>
      </c>
      <c r="CG38" s="4">
        <f t="shared" si="8"/>
        <v>8.2715816783013453E+17</v>
      </c>
      <c r="CH38" s="4">
        <f t="shared" si="9"/>
        <v>8.2724767972269709E+17</v>
      </c>
      <c r="CI38" s="4">
        <f t="shared" si="10"/>
        <v>8.2732920393519142E+17</v>
      </c>
      <c r="CJ38" s="4">
        <f t="shared" si="11"/>
        <v>8.2740263746376602E+17</v>
      </c>
      <c r="CK38" s="4">
        <f t="shared" si="12"/>
        <v>8.2746821823433946E+17</v>
      </c>
      <c r="CL38" s="4">
        <f t="shared" si="13"/>
        <v>8.275258563835072E+17</v>
      </c>
      <c r="CM38" s="4">
        <f t="shared" si="14"/>
        <v>8.2757577190583603E+17</v>
      </c>
      <c r="CN38" s="4">
        <f t="shared" si="15"/>
        <v>8.2761786470430003E+17</v>
      </c>
      <c r="CO38" s="4">
        <f t="shared" si="16"/>
        <v>8.2765232647424269E+17</v>
      </c>
      <c r="CP38" s="4">
        <f t="shared" si="17"/>
        <v>8.276790394210537E+17</v>
      </c>
      <c r="CQ38" s="4">
        <f t="shared" si="18"/>
        <v>8.276981701829911E+17</v>
      </c>
      <c r="CR38" s="4">
        <f t="shared" si="19"/>
        <v>8.2770958651078387E+17</v>
      </c>
      <c r="CS38" s="4">
        <f t="shared" si="20"/>
        <v>8.2771343912115622E+17</v>
      </c>
      <c r="DN38" s="12"/>
      <c r="DO38" s="12"/>
      <c r="DP38" s="12"/>
      <c r="DQ38" s="12"/>
      <c r="DR38" s="12"/>
      <c r="DS38" s="12"/>
      <c r="DT38" s="12"/>
      <c r="DU38" s="12"/>
      <c r="DV38" s="12"/>
      <c r="DW38" s="12"/>
      <c r="DX38" s="12"/>
      <c r="DY38" s="12"/>
      <c r="DZ38" s="12"/>
      <c r="EA38" s="12"/>
      <c r="EB38" s="12"/>
      <c r="EC38" s="12"/>
      <c r="ED38" s="12"/>
      <c r="EE38" s="12"/>
      <c r="EF38" s="12"/>
      <c r="EG38" s="12"/>
      <c r="EH38" s="12"/>
      <c r="EI38" s="12"/>
    </row>
    <row r="39" spans="1:139" ht="15" customHeight="1">
      <c r="A39" s="21"/>
      <c r="B39" s="17"/>
      <c r="C39" s="17"/>
      <c r="D39" s="22"/>
      <c r="E39" s="31"/>
      <c r="F39" s="31"/>
      <c r="H39" s="23">
        <v>0</v>
      </c>
      <c r="I39" s="23">
        <v>0.13875000000000001</v>
      </c>
      <c r="J39" s="19">
        <v>7298885593811096</v>
      </c>
      <c r="M39" s="131">
        <v>0.13500000000000001</v>
      </c>
      <c r="N39" s="18">
        <v>7303571146000680</v>
      </c>
      <c r="O39" s="18">
        <v>7307748665950312</v>
      </c>
      <c r="P39" s="18">
        <v>7314816471613104</v>
      </c>
      <c r="Q39" s="18">
        <v>7320436973699200</v>
      </c>
      <c r="R39" s="18">
        <v>7324716972560760</v>
      </c>
      <c r="S39" s="18">
        <v>7328124517522224</v>
      </c>
      <c r="T39" s="18">
        <v>7330976723495072</v>
      </c>
      <c r="U39" s="18">
        <v>7333415474263768</v>
      </c>
      <c r="V39" s="18">
        <v>7335560488574696</v>
      </c>
      <c r="W39" s="18">
        <v>7337466060660400</v>
      </c>
      <c r="X39" s="18">
        <v>7339190458343784</v>
      </c>
      <c r="Y39" s="18">
        <v>7340759350016944</v>
      </c>
      <c r="Z39" s="18">
        <v>7342206117783880</v>
      </c>
      <c r="AA39" s="18">
        <v>7343544439362824</v>
      </c>
      <c r="AB39" s="18">
        <v>7344795278852312</v>
      </c>
      <c r="AC39" s="18">
        <v>7345966067528592</v>
      </c>
      <c r="AD39" s="18">
        <v>7347070441080712</v>
      </c>
      <c r="AE39" s="18">
        <v>7348111968763248</v>
      </c>
      <c r="AF39" s="18">
        <v>7349099492901616</v>
      </c>
      <c r="AG39" s="18">
        <v>7350034026413216</v>
      </c>
      <c r="AH39" s="18">
        <v>7350921201559136</v>
      </c>
      <c r="AI39" s="18">
        <v>7351760405517176</v>
      </c>
      <c r="AJ39" s="18">
        <v>7352555207933560</v>
      </c>
      <c r="AK39" s="18">
        <v>7353304104268584</v>
      </c>
      <c r="AL39" s="18">
        <v>7354009472739160</v>
      </c>
      <c r="AM39" s="18">
        <v>7354669497419432</v>
      </c>
      <c r="AN39" s="18">
        <v>7355286027639720</v>
      </c>
      <c r="AO39" s="18">
        <v>7355857369596072</v>
      </c>
      <c r="AP39" s="18">
        <v>7356385291186464</v>
      </c>
      <c r="AQ39" s="18">
        <v>7356868435666416</v>
      </c>
      <c r="AR39" s="18">
        <v>7357308647013128</v>
      </c>
      <c r="AS39" s="18">
        <v>7357704852430904</v>
      </c>
      <c r="AT39" s="18">
        <v>7358058888946048</v>
      </c>
      <c r="AU39" s="18">
        <v>7358369782037368</v>
      </c>
      <c r="AV39" s="18">
        <v>7358639234447536</v>
      </c>
      <c r="AW39" s="18">
        <v>7358866229333176</v>
      </c>
      <c r="AX39" s="18">
        <v>7359052286296064</v>
      </c>
      <c r="AY39" s="18">
        <v>7359196300877064</v>
      </c>
      <c r="AZ39" s="18">
        <v>7359299638243792</v>
      </c>
      <c r="BA39" s="18">
        <v>7359361122301528</v>
      </c>
      <c r="BB39" s="18">
        <v>7359382024109752</v>
      </c>
      <c r="BE39" s="4">
        <f t="shared" si="2"/>
        <v>8.1683368587303872E+17</v>
      </c>
      <c r="BF39" s="4">
        <f t="shared" si="2"/>
        <v>8.1760295518503859E+17</v>
      </c>
      <c r="BG39" s="4">
        <f t="shared" si="21"/>
        <v>8.1890524248356122E+17</v>
      </c>
      <c r="BH39" s="4">
        <f t="shared" si="22"/>
        <v>8.1994156067127424E+17</v>
      </c>
      <c r="BI39" s="4">
        <f t="shared" si="23"/>
        <v>8.2073113374639744E+17</v>
      </c>
      <c r="BJ39" s="4">
        <f t="shared" si="24"/>
        <v>8.2136001593950477E+17</v>
      </c>
      <c r="BK39" s="4">
        <f t="shared" si="25"/>
        <v>8.2188658375305101E+17</v>
      </c>
      <c r="BL39" s="4">
        <f t="shared" si="26"/>
        <v>8.223369480709257E+17</v>
      </c>
      <c r="BM39" s="4">
        <f t="shared" si="27"/>
        <v>8.2273316533405645E+17</v>
      </c>
      <c r="BN39" s="4">
        <f t="shared" si="28"/>
        <v>8.2308523029166413E+17</v>
      </c>
      <c r="BO39" s="4">
        <f t="shared" si="29"/>
        <v>8.2340388421188518E+17</v>
      </c>
      <c r="BP39" s="4">
        <f t="shared" si="30"/>
        <v>8.2369385307525568E+17</v>
      </c>
      <c r="BQ39" s="4">
        <f t="shared" si="31"/>
        <v>8.2396129367573082E+17</v>
      </c>
      <c r="BR39" s="4">
        <f t="shared" si="32"/>
        <v>8.2420872445945562E+17</v>
      </c>
      <c r="BS39" s="4">
        <f t="shared" si="33"/>
        <v>8.2444001347467597E+17</v>
      </c>
      <c r="BT39" s="4">
        <f t="shared" si="34"/>
        <v>8.2465652858407642E+17</v>
      </c>
      <c r="BU39" s="4">
        <f t="shared" si="35"/>
        <v>8.2486078633936064E+17</v>
      </c>
      <c r="BV39" s="4">
        <f t="shared" si="36"/>
        <v>8.2505344264481229E+17</v>
      </c>
      <c r="BW39" s="4">
        <f t="shared" si="37"/>
        <v>8.2523612948454963E+17</v>
      </c>
      <c r="BX39" s="4">
        <f t="shared" si="38"/>
        <v>8.2540903110570368E+17</v>
      </c>
      <c r="BY39" s="4">
        <f t="shared" si="39"/>
        <v>8.2557318676522662E+17</v>
      </c>
      <c r="BZ39" s="4">
        <f t="shared" si="40"/>
        <v>8.2572848056168256E+17</v>
      </c>
      <c r="CA39" s="4">
        <f t="shared" si="41"/>
        <v>8.2587557075003853E+17</v>
      </c>
      <c r="CB39" s="4">
        <f t="shared" si="3"/>
        <v>8.2601417676331942E+17</v>
      </c>
      <c r="CC39" s="4">
        <f t="shared" si="4"/>
        <v>8.2614473677264115E+17</v>
      </c>
      <c r="CD39" s="4">
        <f t="shared" si="5"/>
        <v>8.2626691280050662E+17</v>
      </c>
      <c r="CE39" s="4">
        <f t="shared" si="6"/>
        <v>8.2638104543116902E+17</v>
      </c>
      <c r="CF39" s="4">
        <f t="shared" si="7"/>
        <v>8.2648681948467814E+17</v>
      </c>
      <c r="CG39" s="4">
        <f t="shared" si="8"/>
        <v>8.2658456075241754E+17</v>
      </c>
      <c r="CH39" s="4">
        <f t="shared" si="9"/>
        <v>8.2667401666103782E+17</v>
      </c>
      <c r="CI39" s="4">
        <f t="shared" si="10"/>
        <v>8.2675552736997952E+17</v>
      </c>
      <c r="CJ39" s="4">
        <f t="shared" si="11"/>
        <v>8.2682889310244429E+17</v>
      </c>
      <c r="CK39" s="4">
        <f t="shared" si="12"/>
        <v>8.2689445300731008E+17</v>
      </c>
      <c r="CL39" s="4">
        <f t="shared" si="13"/>
        <v>8.2695202572862618E+17</v>
      </c>
      <c r="CM39" s="4">
        <f t="shared" si="14"/>
        <v>8.2700192580672653E+17</v>
      </c>
      <c r="CN39" s="4">
        <f t="shared" si="15"/>
        <v>8.2704396426150285E+17</v>
      </c>
      <c r="CO39" s="4">
        <f t="shared" si="16"/>
        <v>8.2707842195336448E+17</v>
      </c>
      <c r="CP39" s="4">
        <f t="shared" si="17"/>
        <v>8.2710509387945498E+17</v>
      </c>
      <c r="CQ39" s="4">
        <f t="shared" si="18"/>
        <v>8.2712423251812928E+17</v>
      </c>
      <c r="CR39" s="4">
        <f t="shared" si="19"/>
        <v>8.2713561979810227E+17</v>
      </c>
      <c r="CS39" s="4">
        <f t="shared" si="20"/>
        <v>8.2713949097704704E+17</v>
      </c>
      <c r="DN39" s="12"/>
      <c r="DO39" s="12"/>
      <c r="DP39" s="12"/>
      <c r="DQ39" s="12"/>
      <c r="DR39" s="12"/>
      <c r="DS39" s="12"/>
      <c r="DT39" s="12"/>
      <c r="DU39" s="12"/>
      <c r="DV39" s="12"/>
      <c r="DW39" s="12"/>
      <c r="DX39" s="12"/>
      <c r="DY39" s="12"/>
      <c r="DZ39" s="12"/>
      <c r="EA39" s="12"/>
      <c r="EB39" s="12"/>
      <c r="EC39" s="12"/>
      <c r="ED39" s="12"/>
      <c r="EE39" s="12"/>
      <c r="EF39" s="12"/>
      <c r="EG39" s="12"/>
      <c r="EH39" s="12"/>
      <c r="EI39" s="12"/>
    </row>
    <row r="40" spans="1:139" ht="15" customHeight="1">
      <c r="A40" s="21"/>
      <c r="B40" s="17"/>
      <c r="C40" s="17"/>
      <c r="D40" s="22"/>
      <c r="E40" s="31"/>
      <c r="F40" s="31"/>
      <c r="H40" s="23">
        <v>0</v>
      </c>
      <c r="I40" s="23">
        <v>0.14250000000000002</v>
      </c>
      <c r="J40" s="19">
        <v>7293700936424312</v>
      </c>
      <c r="M40" s="131">
        <v>0.13875000000000001</v>
      </c>
      <c r="N40" s="18">
        <v>7298885593811096</v>
      </c>
      <c r="O40" s="18">
        <v>7304200494106368</v>
      </c>
      <c r="P40" s="18">
        <v>7312395785883656</v>
      </c>
      <c r="Q40" s="18">
        <v>7318367305332880</v>
      </c>
      <c r="R40" s="18">
        <v>7322776528646336</v>
      </c>
      <c r="S40" s="18">
        <v>7326239265725928</v>
      </c>
      <c r="T40" s="18">
        <v>7329127917063136</v>
      </c>
      <c r="U40" s="18">
        <v>7331584941282024</v>
      </c>
      <c r="V40" s="18">
        <v>7333745120676064</v>
      </c>
      <c r="W40" s="18">
        <v>7335658061856832</v>
      </c>
      <c r="X40" s="18">
        <v>7337389475018232</v>
      </c>
      <c r="Y40" s="18">
        <v>7338961146714040</v>
      </c>
      <c r="Z40" s="18">
        <v>7340411127718624</v>
      </c>
      <c r="AA40" s="18">
        <v>7341750147003352</v>
      </c>
      <c r="AB40" s="18">
        <v>7343002445804080</v>
      </c>
      <c r="AC40" s="18">
        <v>7344173148992384</v>
      </c>
      <c r="AD40" s="18">
        <v>7345278328064680</v>
      </c>
      <c r="AE40" s="18">
        <v>7346319664407056</v>
      </c>
      <c r="AF40" s="18">
        <v>7347307879858184</v>
      </c>
      <c r="AG40" s="18">
        <v>7348242387001584</v>
      </c>
      <c r="AH40" s="18">
        <v>7349130320903680</v>
      </c>
      <c r="AI40" s="18">
        <v>7349969683944144</v>
      </c>
      <c r="AJ40" s="18">
        <v>7350765293154736</v>
      </c>
      <c r="AK40" s="18">
        <v>7351514430790464</v>
      </c>
      <c r="AL40" s="18">
        <v>7352220548789392</v>
      </c>
      <c r="AM40" s="18">
        <v>7352880759408128</v>
      </c>
      <c r="AN40" s="18">
        <v>7353497870870296</v>
      </c>
      <c r="AO40" s="18">
        <v>7354069240815888</v>
      </c>
      <c r="AP40" s="18">
        <v>7354597525646080</v>
      </c>
      <c r="AQ40" s="18">
        <v>7355080526038616</v>
      </c>
      <c r="AR40" s="18">
        <v>7355520924205544</v>
      </c>
      <c r="AS40" s="18">
        <v>7355916879983504</v>
      </c>
      <c r="AT40" s="18">
        <v>7356271017608704</v>
      </c>
      <c r="AU40" s="18">
        <v>7356581638000488</v>
      </c>
      <c r="AV40" s="18">
        <v>7356851181300736</v>
      </c>
      <c r="AW40" s="18">
        <v>7357077930036536</v>
      </c>
      <c r="AX40" s="18">
        <v>7357264102153808</v>
      </c>
      <c r="AY40" s="18">
        <v>7357407908406888</v>
      </c>
      <c r="AZ40" s="18">
        <v>7357511388048464</v>
      </c>
      <c r="BA40" s="18">
        <v>7357572692028032</v>
      </c>
      <c r="BB40" s="18">
        <v>7357593755480472</v>
      </c>
      <c r="BE40" s="4">
        <f t="shared" si="2"/>
        <v>8.1573684530473613E+17</v>
      </c>
      <c r="BF40" s="4">
        <f t="shared" si="2"/>
        <v>8.1671484344518694E+17</v>
      </c>
      <c r="BG40" s="4">
        <f t="shared" si="21"/>
        <v>8.1822395940662438E+17</v>
      </c>
      <c r="BH40" s="4">
        <f t="shared" si="22"/>
        <v>8.1932441723932787E+17</v>
      </c>
      <c r="BI40" s="4">
        <f t="shared" si="23"/>
        <v>8.2013742101763725E+17</v>
      </c>
      <c r="BJ40" s="4">
        <f t="shared" si="24"/>
        <v>8.207761745953271E+17</v>
      </c>
      <c r="BK40" s="4">
        <f t="shared" si="25"/>
        <v>8.2130921095968947E+17</v>
      </c>
      <c r="BL40" s="4">
        <f t="shared" si="26"/>
        <v>8.217627300563872E+17</v>
      </c>
      <c r="BM40" s="4">
        <f t="shared" si="27"/>
        <v>8.2216155600281254E+17</v>
      </c>
      <c r="BN40" s="4">
        <f t="shared" si="28"/>
        <v>8.2251481234094694E+17</v>
      </c>
      <c r="BO40" s="4">
        <f t="shared" si="29"/>
        <v>8.2283460893108096E+17</v>
      </c>
      <c r="BP40" s="4">
        <f t="shared" si="30"/>
        <v>8.2312495219992269E+17</v>
      </c>
      <c r="BQ40" s="4">
        <f t="shared" si="31"/>
        <v>8.2339285823794458E+17</v>
      </c>
      <c r="BR40" s="4">
        <f t="shared" si="32"/>
        <v>8.2364029935070925E+17</v>
      </c>
      <c r="BS40" s="4">
        <f t="shared" si="33"/>
        <v>8.2387174724171098E+17</v>
      </c>
      <c r="BT40" s="4">
        <f t="shared" si="34"/>
        <v>8.2408814281831603E+17</v>
      </c>
      <c r="BU40" s="4">
        <f t="shared" si="35"/>
        <v>8.2429245164006861E+17</v>
      </c>
      <c r="BV40" s="4">
        <f t="shared" si="36"/>
        <v>8.2448498029146662E+17</v>
      </c>
      <c r="BW40" s="4">
        <f t="shared" si="37"/>
        <v>8.2466770746514227E+17</v>
      </c>
      <c r="BX40" s="4">
        <f t="shared" si="38"/>
        <v>8.248405214120471E+17</v>
      </c>
      <c r="BY40" s="4">
        <f t="shared" si="39"/>
        <v>8.2500473879800806E+17</v>
      </c>
      <c r="BZ40" s="4">
        <f t="shared" si="40"/>
        <v>8.2515998767157261E+17</v>
      </c>
      <c r="CA40" s="4">
        <f t="shared" si="41"/>
        <v>8.2530715668860365E+17</v>
      </c>
      <c r="CB40" s="4">
        <f t="shared" si="3"/>
        <v>8.2544574100239821E+17</v>
      </c>
      <c r="CC40" s="4">
        <f t="shared" si="4"/>
        <v>8.2557637720071398E+17</v>
      </c>
      <c r="CD40" s="4">
        <f t="shared" si="5"/>
        <v>8.2569852917236621E+17</v>
      </c>
      <c r="CE40" s="4">
        <f t="shared" si="6"/>
        <v>8.2581271474783181E+17</v>
      </c>
      <c r="CF40" s="4">
        <f t="shared" si="7"/>
        <v>8.2591844338051136E+17</v>
      </c>
      <c r="CG40" s="4">
        <f t="shared" si="8"/>
        <v>8.260162051133623E+17</v>
      </c>
      <c r="CH40" s="4">
        <f t="shared" si="9"/>
        <v>8.2610559156747635E+17</v>
      </c>
      <c r="CI40" s="4">
        <f t="shared" si="10"/>
        <v>8.2618709786436954E+17</v>
      </c>
      <c r="CJ40" s="4">
        <f t="shared" si="11"/>
        <v>8.2626038230149901E+17</v>
      </c>
      <c r="CK40" s="4">
        <f t="shared" si="12"/>
        <v>8.263259295629705E+17</v>
      </c>
      <c r="CL40" s="4">
        <f t="shared" si="13"/>
        <v>8.2638342427095462E+17</v>
      </c>
      <c r="CM40" s="4">
        <f t="shared" si="14"/>
        <v>8.2643331730508109E+17</v>
      </c>
      <c r="CN40" s="4">
        <f t="shared" si="15"/>
        <v>8.264752900880649E+17</v>
      </c>
      <c r="CO40" s="4">
        <f t="shared" si="16"/>
        <v>8.2650975261446899E+17</v>
      </c>
      <c r="CP40" s="4">
        <f t="shared" si="17"/>
        <v>8.265363732183017E+17</v>
      </c>
      <c r="CQ40" s="4">
        <f t="shared" si="18"/>
        <v>8.2655552903999373E+17</v>
      </c>
      <c r="CR40" s="4">
        <f t="shared" si="19"/>
        <v>8.2656687753737549E+17</v>
      </c>
      <c r="CS40" s="4">
        <f t="shared" si="20"/>
        <v>8.2657077678810266E+17</v>
      </c>
      <c r="DN40" s="12"/>
      <c r="DO40" s="12"/>
      <c r="DP40" s="12"/>
      <c r="DQ40" s="12"/>
      <c r="DR40" s="12"/>
      <c r="DS40" s="12"/>
      <c r="DT40" s="12"/>
      <c r="DU40" s="12"/>
      <c r="DV40" s="12"/>
      <c r="DW40" s="12"/>
      <c r="DX40" s="12"/>
      <c r="DY40" s="12"/>
      <c r="DZ40" s="12"/>
      <c r="EA40" s="12"/>
      <c r="EB40" s="12"/>
      <c r="EC40" s="12"/>
      <c r="ED40" s="12"/>
      <c r="EE40" s="12"/>
      <c r="EF40" s="12"/>
      <c r="EG40" s="12"/>
      <c r="EH40" s="12"/>
      <c r="EI40" s="12"/>
    </row>
    <row r="41" spans="1:139" ht="15" customHeight="1">
      <c r="A41" s="21"/>
      <c r="B41" s="17"/>
      <c r="C41" s="17"/>
      <c r="D41" s="22"/>
      <c r="E41" s="31"/>
      <c r="F41" s="31"/>
      <c r="H41" s="23">
        <v>0</v>
      </c>
      <c r="I41" s="23">
        <v>0.14625000000000002</v>
      </c>
      <c r="J41" s="19">
        <v>7287843277369240</v>
      </c>
      <c r="M41" s="131">
        <v>0.14250000000000002</v>
      </c>
      <c r="N41" s="18">
        <v>7293700936424312</v>
      </c>
      <c r="O41" s="18">
        <v>7300594290819976</v>
      </c>
      <c r="P41" s="18">
        <v>7310104515047792</v>
      </c>
      <c r="Q41" s="18">
        <v>7316380805414944</v>
      </c>
      <c r="R41" s="18">
        <v>7320895316255840</v>
      </c>
      <c r="S41" s="18">
        <v>7324399521674480</v>
      </c>
      <c r="T41" s="18">
        <v>7327318778698032</v>
      </c>
      <c r="U41" s="18">
        <v>7329789102231976</v>
      </c>
      <c r="V41" s="18">
        <v>7331962291086680</v>
      </c>
      <c r="W41" s="18">
        <v>7333880197447624</v>
      </c>
      <c r="X41" s="18">
        <v>7335617625985992</v>
      </c>
      <c r="Y41" s="18">
        <v>7337190701046024</v>
      </c>
      <c r="Z41" s="18">
        <v>7338643370885456</v>
      </c>
      <c r="AA41" s="18">
        <v>7339982222510104</v>
      </c>
      <c r="AB41" s="18">
        <v>7341235703144968</v>
      </c>
      <c r="AC41" s="18">
        <v>7342405758014664</v>
      </c>
      <c r="AD41" s="18">
        <v>7343511618438856</v>
      </c>
      <c r="AE41" s="18">
        <v>7344552398959704</v>
      </c>
      <c r="AF41" s="18">
        <v>7345541283113184</v>
      </c>
      <c r="AG41" s="18">
        <v>7346475532075176</v>
      </c>
      <c r="AH41" s="18">
        <v>7347364266132824</v>
      </c>
      <c r="AI41" s="18">
        <v>7348203641313432</v>
      </c>
      <c r="AJ41" s="18">
        <v>7349000132957504</v>
      </c>
      <c r="AK41" s="18">
        <v>7349749413653928</v>
      </c>
      <c r="AL41" s="18">
        <v>7350456367570144</v>
      </c>
      <c r="AM41" s="18">
        <v>7351116687034240</v>
      </c>
      <c r="AN41" s="18">
        <v>7351734459104896</v>
      </c>
      <c r="AO41" s="18">
        <v>7352305782260104</v>
      </c>
      <c r="AP41" s="18">
        <v>7352834493866392</v>
      </c>
      <c r="AQ41" s="18">
        <v>7353317271380968</v>
      </c>
      <c r="AR41" s="18">
        <v>7353757906928696</v>
      </c>
      <c r="AS41" s="18">
        <v>7354153534425312</v>
      </c>
      <c r="AT41" s="18">
        <v>7354507819156632</v>
      </c>
      <c r="AU41" s="18">
        <v>7354818093962528</v>
      </c>
      <c r="AV41" s="18">
        <v>7355087775617032</v>
      </c>
      <c r="AW41" s="18">
        <v>7355314212926616</v>
      </c>
      <c r="AX41" s="18">
        <v>7355500550920960</v>
      </c>
      <c r="AY41" s="18">
        <v>7355644089680944</v>
      </c>
      <c r="AZ41" s="18">
        <v>7355747764775120</v>
      </c>
      <c r="BA41" s="18">
        <v>7355808832867328</v>
      </c>
      <c r="BB41" s="18">
        <v>7355830112374056</v>
      </c>
      <c r="BE41" s="4">
        <f t="shared" si="2"/>
        <v>8.1454926242805286E+17</v>
      </c>
      <c r="BF41" s="4">
        <f t="shared" si="2"/>
        <v>8.1581674923746778E+17</v>
      </c>
      <c r="BG41" s="4">
        <f t="shared" si="21"/>
        <v>8.1756694471320768E+17</v>
      </c>
      <c r="BH41" s="4">
        <f t="shared" si="22"/>
        <v>8.1872296927549248E+17</v>
      </c>
      <c r="BI41" s="4">
        <f t="shared" si="23"/>
        <v>8.1955497489467648E+17</v>
      </c>
      <c r="BJ41" s="4">
        <f t="shared" si="24"/>
        <v>8.2020106327682227E+17</v>
      </c>
      <c r="BK41" s="4">
        <f t="shared" si="25"/>
        <v>8.2073948714152371E+17</v>
      </c>
      <c r="BL41" s="4">
        <f t="shared" si="26"/>
        <v>8.2119524196965261E+17</v>
      </c>
      <c r="BM41" s="4">
        <f t="shared" si="27"/>
        <v>8.2159627762646554E+17</v>
      </c>
      <c r="BN41" s="4">
        <f t="shared" si="28"/>
        <v>8.2195028158292467E+17</v>
      </c>
      <c r="BO41" s="4">
        <f t="shared" si="29"/>
        <v>8.2227103604508301E+17</v>
      </c>
      <c r="BP41" s="4">
        <f t="shared" si="30"/>
        <v>8.2256149997205107E+17</v>
      </c>
      <c r="BQ41" s="4">
        <f t="shared" si="31"/>
        <v>8.2282977487477146E+17</v>
      </c>
      <c r="BR41" s="4">
        <f t="shared" si="32"/>
        <v>8.2307706711361549E+17</v>
      </c>
      <c r="BS41" s="4">
        <f t="shared" si="33"/>
        <v>8.233086230584105E+17</v>
      </c>
      <c r="BT41" s="4">
        <f t="shared" si="34"/>
        <v>8.2352479577120922E+17</v>
      </c>
      <c r="BU41" s="4">
        <f t="shared" si="35"/>
        <v>8.2372913316970304E+17</v>
      </c>
      <c r="BV41" s="4">
        <f t="shared" si="36"/>
        <v>8.2392146740193062E+17</v>
      </c>
      <c r="BW41" s="4">
        <f t="shared" si="37"/>
        <v>8.2410423113295885E+17</v>
      </c>
      <c r="BX41" s="4">
        <f t="shared" si="38"/>
        <v>8.2427691505608755E+17</v>
      </c>
      <c r="BY41" s="4">
        <f t="shared" si="39"/>
        <v>8.2444120215456858E+17</v>
      </c>
      <c r="BZ41" s="4">
        <f t="shared" si="40"/>
        <v>8.2459637935238707E+17</v>
      </c>
      <c r="CA41" s="4">
        <f t="shared" si="41"/>
        <v>8.247436414576608E+17</v>
      </c>
      <c r="CB41" s="4">
        <f t="shared" si="3"/>
        <v>8.2488218625711885E+17</v>
      </c>
      <c r="CC41" s="4">
        <f t="shared" si="4"/>
        <v>8.2501291485700134E+17</v>
      </c>
      <c r="CD41" s="4">
        <f t="shared" si="5"/>
        <v>8.2513502882872179E+17</v>
      </c>
      <c r="CE41" s="4">
        <f t="shared" si="6"/>
        <v>8.2524928224823578E+17</v>
      </c>
      <c r="CF41" s="4">
        <f t="shared" si="7"/>
        <v>8.2535495192374118E+17</v>
      </c>
      <c r="CG41" s="4">
        <f t="shared" si="8"/>
        <v>8.2545274608656474E+17</v>
      </c>
      <c r="CH41" s="4">
        <f t="shared" si="9"/>
        <v>8.2554204879027277E+17</v>
      </c>
      <c r="CI41" s="4">
        <f t="shared" si="10"/>
        <v>8.2562356022576832E+17</v>
      </c>
      <c r="CJ41" s="4">
        <f t="shared" si="11"/>
        <v>8.2569674907067162E+17</v>
      </c>
      <c r="CK41" s="4">
        <f t="shared" si="12"/>
        <v>8.2576229236549696E+17</v>
      </c>
      <c r="CL41" s="4">
        <f t="shared" si="13"/>
        <v>8.2581969578614182E+17</v>
      </c>
      <c r="CM41" s="4">
        <f t="shared" si="14"/>
        <v>8.2586959068264218E+17</v>
      </c>
      <c r="CN41" s="4">
        <f t="shared" si="15"/>
        <v>8.2591148587840589E+17</v>
      </c>
      <c r="CO41" s="4">
        <f t="shared" si="16"/>
        <v>8.2594596270111066E+17</v>
      </c>
      <c r="CP41" s="4">
        <f t="shared" si="17"/>
        <v>8.2597252114746854E+17</v>
      </c>
      <c r="CQ41" s="4">
        <f t="shared" si="18"/>
        <v>8.2599170402048845E+17</v>
      </c>
      <c r="CR41" s="4">
        <f t="shared" si="19"/>
        <v>8.2600300347270285E+17</v>
      </c>
      <c r="CS41" s="4">
        <f t="shared" si="20"/>
        <v>8.2600694084521434E+17</v>
      </c>
      <c r="DN41" s="12"/>
      <c r="DO41" s="12"/>
      <c r="DP41" s="12"/>
      <c r="DQ41" s="12"/>
      <c r="DR41" s="12"/>
      <c r="DS41" s="12"/>
      <c r="DT41" s="12"/>
      <c r="DU41" s="12"/>
      <c r="DV41" s="12"/>
      <c r="DW41" s="12"/>
      <c r="DX41" s="12"/>
      <c r="DY41" s="12"/>
      <c r="DZ41" s="12"/>
      <c r="EA41" s="12"/>
      <c r="EB41" s="12"/>
      <c r="EC41" s="12"/>
      <c r="ED41" s="12"/>
      <c r="EE41" s="12"/>
      <c r="EF41" s="12"/>
      <c r="EG41" s="12"/>
      <c r="EH41" s="12"/>
      <c r="EI41" s="12"/>
    </row>
    <row r="42" spans="1:139" ht="15" customHeight="1">
      <c r="A42" s="21"/>
      <c r="B42" s="17"/>
      <c r="C42" s="17"/>
      <c r="D42" s="22"/>
      <c r="E42" s="31"/>
      <c r="F42" s="31"/>
      <c r="H42" s="23">
        <v>0</v>
      </c>
      <c r="I42" s="23">
        <v>0.15000000000000002</v>
      </c>
      <c r="J42" s="19">
        <v>7281053519145112</v>
      </c>
      <c r="M42" s="131">
        <v>0.14625000000000002</v>
      </c>
      <c r="N42" s="18">
        <v>7287843277369240</v>
      </c>
      <c r="O42" s="18">
        <v>7296969942352872</v>
      </c>
      <c r="P42" s="18">
        <v>7307984170961160</v>
      </c>
      <c r="Q42" s="18">
        <v>7314486049623344</v>
      </c>
      <c r="R42" s="18">
        <v>7319076573293064</v>
      </c>
      <c r="S42" s="18">
        <v>7322608230214328</v>
      </c>
      <c r="T42" s="18">
        <v>7325551296811320</v>
      </c>
      <c r="U42" s="18">
        <v>7328030227278416</v>
      </c>
      <c r="V42" s="18">
        <v>7330213842567712</v>
      </c>
      <c r="W42" s="18">
        <v>7332134539898280</v>
      </c>
      <c r="X42" s="18">
        <v>7333876726881512</v>
      </c>
      <c r="Y42" s="18">
        <v>7335449996435096</v>
      </c>
      <c r="Z42" s="18">
        <v>7336904654316192</v>
      </c>
      <c r="AA42" s="18">
        <v>7338242599222240</v>
      </c>
      <c r="AB42" s="18">
        <v>7339496854597840</v>
      </c>
      <c r="AC42" s="18">
        <v>7340665798415672</v>
      </c>
      <c r="AD42" s="18">
        <v>7341772116921248</v>
      </c>
      <c r="AE42" s="18">
        <v>7342812060079856</v>
      </c>
      <c r="AF42" s="18">
        <v>7343801511969368</v>
      </c>
      <c r="AG42" s="18">
        <v>7344735341676544</v>
      </c>
      <c r="AH42" s="18">
        <v>7345624853109248</v>
      </c>
      <c r="AI42" s="18">
        <v>7346464154865816</v>
      </c>
      <c r="AJ42" s="18">
        <v>7347261550129664</v>
      </c>
      <c r="AK42" s="18">
        <v>7348010929541848</v>
      </c>
      <c r="AL42" s="18">
        <v>7348718758017824</v>
      </c>
      <c r="AM42" s="18">
        <v>7349379156858528</v>
      </c>
      <c r="AN42" s="18">
        <v>7349997625528160</v>
      </c>
      <c r="AO42" s="18">
        <v>7350568869211472</v>
      </c>
      <c r="AP42" s="18">
        <v>7351098030516328</v>
      </c>
      <c r="AQ42" s="18">
        <v>7351580544117576</v>
      </c>
      <c r="AR42" s="18">
        <v>7352021429335840</v>
      </c>
      <c r="AS42" s="18">
        <v>7352416685012568</v>
      </c>
      <c r="AT42" s="18">
        <v>7352771126961320</v>
      </c>
      <c r="AU42" s="18">
        <v>7353081016957232</v>
      </c>
      <c r="AV42" s="18">
        <v>7353350850623760</v>
      </c>
      <c r="AW42" s="18">
        <v>7353576943978448</v>
      </c>
      <c r="AX42" s="18">
        <v>7353763466252152</v>
      </c>
      <c r="AY42" s="18">
        <v>7353906710399448</v>
      </c>
      <c r="AZ42" s="18">
        <v>7354010602637176</v>
      </c>
      <c r="BA42" s="18">
        <v>7354071410544512</v>
      </c>
      <c r="BB42" s="18">
        <v>7354092929246088</v>
      </c>
      <c r="BE42" s="4">
        <f t="shared" si="2"/>
        <v>8.1323923558230963E+17</v>
      </c>
      <c r="BF42" s="4">
        <f t="shared" si="2"/>
        <v>8.1491602543651891E+17</v>
      </c>
      <c r="BG42" s="4">
        <f t="shared" si="21"/>
        <v>8.169417995509193E+17</v>
      </c>
      <c r="BH42" s="4">
        <f t="shared" si="22"/>
        <v>8.1813877288862528E+17</v>
      </c>
      <c r="BI42" s="4">
        <f t="shared" si="23"/>
        <v>8.1898437577384192E+17</v>
      </c>
      <c r="BJ42" s="4">
        <f t="shared" si="24"/>
        <v>8.1963521241679501E+17</v>
      </c>
      <c r="BK42" s="4">
        <f t="shared" si="25"/>
        <v>8.2017776819509926E+17</v>
      </c>
      <c r="BL42" s="4">
        <f t="shared" si="26"/>
        <v>8.2063489312053837E+17</v>
      </c>
      <c r="BM42" s="4">
        <f t="shared" si="27"/>
        <v>8.2103766136690074E+17</v>
      </c>
      <c r="BN42" s="4">
        <f t="shared" si="28"/>
        <v>8.2139201227740237E+17</v>
      </c>
      <c r="BO42" s="4">
        <f t="shared" si="29"/>
        <v>8.2171349276325978E+17</v>
      </c>
      <c r="BP42" s="4">
        <f t="shared" si="30"/>
        <v>8.220038549925536E+17</v>
      </c>
      <c r="BQ42" s="4">
        <f t="shared" si="31"/>
        <v>8.2227236982432269E+17</v>
      </c>
      <c r="BR42" s="4">
        <f t="shared" si="32"/>
        <v>8.2251937758195584E+17</v>
      </c>
      <c r="BS42" s="4">
        <f t="shared" si="33"/>
        <v>8.2275096694685146E+17</v>
      </c>
      <c r="BT42" s="4">
        <f t="shared" si="34"/>
        <v>8.2296683213942758E+17</v>
      </c>
      <c r="BU42" s="4">
        <f t="shared" si="35"/>
        <v>8.2317115739578035E+17</v>
      </c>
      <c r="BV42" s="4">
        <f t="shared" si="36"/>
        <v>8.2336324589663629E+17</v>
      </c>
      <c r="BW42" s="4">
        <f t="shared" si="37"/>
        <v>8.2354602797646054E+17</v>
      </c>
      <c r="BX42" s="4">
        <f t="shared" si="38"/>
        <v>8.237185526899255E+17</v>
      </c>
      <c r="BY42" s="4">
        <f t="shared" si="39"/>
        <v>8.2388290565108275E+17</v>
      </c>
      <c r="BZ42" s="4">
        <f t="shared" si="40"/>
        <v>8.2403799583115366E+17</v>
      </c>
      <c r="CA42" s="4">
        <f t="shared" si="41"/>
        <v>8.2418535523150336E+17</v>
      </c>
      <c r="CB42" s="4">
        <f t="shared" si="3"/>
        <v>8.2432385271571469E+17</v>
      </c>
      <c r="CC42" s="4">
        <f t="shared" si="4"/>
        <v>8.244546811088457E+17</v>
      </c>
      <c r="CD42" s="4">
        <f t="shared" si="5"/>
        <v>8.2457675198443661E+17</v>
      </c>
      <c r="CE42" s="4">
        <f t="shared" si="6"/>
        <v>8.246910801313641E+17</v>
      </c>
      <c r="CF42" s="4">
        <f t="shared" si="7"/>
        <v>8.247966851363383E+17</v>
      </c>
      <c r="CG42" s="4">
        <f t="shared" si="8"/>
        <v>8.2489451618840269E+17</v>
      </c>
      <c r="CH42" s="4">
        <f t="shared" si="9"/>
        <v>8.2498372786427034E+17</v>
      </c>
      <c r="CI42" s="4">
        <f t="shared" si="10"/>
        <v>8.2506524691577728E+17</v>
      </c>
      <c r="CJ42" s="4">
        <f t="shared" si="11"/>
        <v>8.2513833239690112E+17</v>
      </c>
      <c r="CK42" s="4">
        <f t="shared" si="12"/>
        <v>8.2520387376712794E+17</v>
      </c>
      <c r="CL42" s="4">
        <f t="shared" si="13"/>
        <v>8.2526117888119066E+17</v>
      </c>
      <c r="CM42" s="4">
        <f t="shared" si="14"/>
        <v>8.2531107829214374E+17</v>
      </c>
      <c r="CN42" s="4">
        <f t="shared" si="15"/>
        <v>8.2535289006626406E+17</v>
      </c>
      <c r="CO42" s="4">
        <f t="shared" si="16"/>
        <v>8.2538738466343936E+17</v>
      </c>
      <c r="CP42" s="4">
        <f t="shared" si="17"/>
        <v>8.2541387606396416E+17</v>
      </c>
      <c r="CQ42" s="4">
        <f t="shared" si="18"/>
        <v>8.2543309002342771E+17</v>
      </c>
      <c r="CR42" s="4">
        <f t="shared" si="19"/>
        <v>8.2544433601233062E+17</v>
      </c>
      <c r="CS42" s="4">
        <f t="shared" si="20"/>
        <v>8.2544831576027251E+17</v>
      </c>
      <c r="DN42" s="12"/>
      <c r="DO42" s="12"/>
      <c r="DP42" s="12"/>
      <c r="DQ42" s="12"/>
      <c r="DR42" s="12"/>
      <c r="DS42" s="12"/>
      <c r="DT42" s="12"/>
      <c r="DU42" s="12"/>
      <c r="DV42" s="12"/>
      <c r="DW42" s="12"/>
      <c r="DX42" s="12"/>
      <c r="DY42" s="12"/>
      <c r="DZ42" s="12"/>
      <c r="EA42" s="12"/>
      <c r="EB42" s="12"/>
      <c r="EC42" s="12"/>
      <c r="ED42" s="12"/>
      <c r="EE42" s="12"/>
      <c r="EF42" s="12"/>
      <c r="EG42" s="12"/>
      <c r="EH42" s="12"/>
      <c r="EI42" s="12"/>
    </row>
    <row r="43" spans="1:139" ht="15" customHeight="1">
      <c r="A43" s="21"/>
      <c r="B43" s="17"/>
      <c r="C43" s="17"/>
      <c r="D43" s="22"/>
      <c r="E43" s="31"/>
      <c r="F43" s="31"/>
      <c r="H43" s="23">
        <v>1.8750000000000003E-2</v>
      </c>
      <c r="I43" s="23">
        <v>0</v>
      </c>
      <c r="J43" s="19">
        <v>7411073383600232</v>
      </c>
      <c r="M43" s="131">
        <v>0.15000000000000002</v>
      </c>
      <c r="N43" s="18">
        <v>7281053519145112</v>
      </c>
      <c r="O43" s="18">
        <v>7293402284142320</v>
      </c>
      <c r="P43" s="18">
        <v>7306077093085168</v>
      </c>
      <c r="Q43" s="18">
        <v>7312687274873576</v>
      </c>
      <c r="R43" s="18">
        <v>7317317899272040</v>
      </c>
      <c r="S43" s="18">
        <v>7320865428976376</v>
      </c>
      <c r="T43" s="18">
        <v>7323822868527544</v>
      </c>
      <c r="U43" s="18">
        <v>7326307418380776</v>
      </c>
      <c r="V43" s="18">
        <v>7328497404828904</v>
      </c>
      <c r="W43" s="18">
        <v>7330419816327152</v>
      </c>
      <c r="X43" s="18">
        <v>7332164555988240</v>
      </c>
      <c r="Y43" s="18">
        <v>7333737566478312</v>
      </c>
      <c r="Z43" s="18">
        <v>7335192842916600</v>
      </c>
      <c r="AA43" s="18">
        <v>7336529696198960</v>
      </c>
      <c r="AB43" s="18">
        <v>7337783819061264</v>
      </c>
      <c r="AC43" s="18">
        <v>7338951617953744</v>
      </c>
      <c r="AD43" s="18">
        <v>7340057780665968</v>
      </c>
      <c r="AE43" s="18">
        <v>7341096951165464</v>
      </c>
      <c r="AF43" s="18">
        <v>7342086553809920</v>
      </c>
      <c r="AG43" s="18">
        <v>7343020091881144</v>
      </c>
      <c r="AH43" s="18">
        <v>7343910094131528</v>
      </c>
      <c r="AI43" s="18">
        <v>7344749483669944</v>
      </c>
      <c r="AJ43" s="18">
        <v>7345547577390304</v>
      </c>
      <c r="AK43" s="18">
        <v>7346297226464720</v>
      </c>
      <c r="AL43" s="18">
        <v>7347005769126176</v>
      </c>
      <c r="AM43" s="18">
        <v>7347666408851480</v>
      </c>
      <c r="AN43" s="18">
        <v>7348285431009584</v>
      </c>
      <c r="AO43" s="18">
        <v>7348856734205960</v>
      </c>
      <c r="AP43" s="18">
        <v>7349386203554720</v>
      </c>
      <c r="AQ43" s="18">
        <v>7349868569027448</v>
      </c>
      <c r="AR43" s="18">
        <v>7350309562941336</v>
      </c>
      <c r="AS43" s="18">
        <v>7350704549576760</v>
      </c>
      <c r="AT43" s="18">
        <v>7351059014795560</v>
      </c>
      <c r="AU43" s="18">
        <v>7351368619840704</v>
      </c>
      <c r="AV43" s="18">
        <v>7351638482226176</v>
      </c>
      <c r="AW43" s="18">
        <v>7351864333096384</v>
      </c>
      <c r="AX43" s="18">
        <v>7352050926093832</v>
      </c>
      <c r="AY43" s="18">
        <v>7352193979011096</v>
      </c>
      <c r="AZ43" s="18">
        <v>7352297981116120</v>
      </c>
      <c r="BA43" s="18">
        <v>7352358632969096</v>
      </c>
      <c r="BB43" s="18">
        <v>7352380286146408</v>
      </c>
      <c r="BE43" s="4">
        <f t="shared" si="2"/>
        <v>8.2137954425369242E+17</v>
      </c>
      <c r="BF43" s="4">
        <f t="shared" si="2"/>
        <v>8.236732601503529E+17</v>
      </c>
      <c r="BG43" s="4">
        <f t="shared" si="21"/>
        <v>8.2603070862578317E+17</v>
      </c>
      <c r="BH43" s="4">
        <f t="shared" si="22"/>
        <v>8.2726144279726182E+17</v>
      </c>
      <c r="BI43" s="4">
        <f t="shared" si="23"/>
        <v>8.2812412836229184E+17</v>
      </c>
      <c r="BJ43" s="4">
        <f t="shared" si="24"/>
        <v>8.2878532345221069E+17</v>
      </c>
      <c r="BK43" s="4">
        <f t="shared" si="25"/>
        <v>8.2933672883811366E+17</v>
      </c>
      <c r="BL43" s="4">
        <f t="shared" si="26"/>
        <v>8.2980010062278502E+17</v>
      </c>
      <c r="BM43" s="4">
        <f t="shared" si="27"/>
        <v>8.3020863832033843E+17</v>
      </c>
      <c r="BN43" s="4">
        <f t="shared" si="28"/>
        <v>8.3056733949044698E+17</v>
      </c>
      <c r="BO43" s="4">
        <f t="shared" si="29"/>
        <v>8.3089295300177498E+17</v>
      </c>
      <c r="BP43" s="4">
        <f t="shared" si="30"/>
        <v>8.3118656960022822E+17</v>
      </c>
      <c r="BQ43" s="4">
        <f t="shared" si="31"/>
        <v>8.314582541457568E+17</v>
      </c>
      <c r="BR43" s="4">
        <f t="shared" si="32"/>
        <v>8.3170786768139443E+17</v>
      </c>
      <c r="BS43" s="4">
        <f t="shared" si="33"/>
        <v>8.3194206651656768E+17</v>
      </c>
      <c r="BT43" s="4">
        <f t="shared" si="34"/>
        <v>8.3216017322615283E+17</v>
      </c>
      <c r="BU43" s="4">
        <f t="shared" si="35"/>
        <v>8.3236679346313344E+17</v>
      </c>
      <c r="BV43" s="4">
        <f t="shared" si="36"/>
        <v>8.3256092251207206E+17</v>
      </c>
      <c r="BW43" s="4">
        <f t="shared" si="37"/>
        <v>8.3274581179010598E+17</v>
      </c>
      <c r="BX43" s="4">
        <f t="shared" si="38"/>
        <v>8.3292024437429261E+17</v>
      </c>
      <c r="BY43" s="4">
        <f t="shared" si="39"/>
        <v>8.3308655847347597E+17</v>
      </c>
      <c r="BZ43" s="4">
        <f t="shared" si="40"/>
        <v>8.3324342912684224E+17</v>
      </c>
      <c r="CA43" s="4">
        <f t="shared" si="41"/>
        <v>8.3339259521400333E+17</v>
      </c>
      <c r="CB43" s="4">
        <f t="shared" si="3"/>
        <v>8.3353271845556685E+17</v>
      </c>
      <c r="CC43" s="4">
        <f t="shared" si="4"/>
        <v>8.3366516848212595E+17</v>
      </c>
      <c r="CD43" s="4">
        <f t="shared" si="5"/>
        <v>8.3378867291304922E+17</v>
      </c>
      <c r="CE43" s="4">
        <f t="shared" si="6"/>
        <v>8.3390440499760653E+17</v>
      </c>
      <c r="CF43" s="4">
        <f t="shared" si="7"/>
        <v>8.3401122236842752E+17</v>
      </c>
      <c r="CG43" s="4">
        <f t="shared" si="8"/>
        <v>8.3411022383353971E+17</v>
      </c>
      <c r="CH43" s="4">
        <f t="shared" si="9"/>
        <v>8.3420042258222016E+17</v>
      </c>
      <c r="CI43" s="4">
        <f t="shared" si="10"/>
        <v>8.3428288922966835E+17</v>
      </c>
      <c r="CJ43" s="4">
        <f t="shared" si="11"/>
        <v>8.3435675573610176E+17</v>
      </c>
      <c r="CK43" s="4">
        <f t="shared" si="12"/>
        <v>8.3442304698323968E+17</v>
      </c>
      <c r="CL43" s="4">
        <f t="shared" si="13"/>
        <v>8.3448095064276096E+17</v>
      </c>
      <c r="CM43" s="4">
        <f t="shared" si="14"/>
        <v>8.345314230238816E+17</v>
      </c>
      <c r="CN43" s="4">
        <f t="shared" si="15"/>
        <v>8.345736650477495E+17</v>
      </c>
      <c r="CO43" s="4">
        <f t="shared" si="16"/>
        <v>8.3460856524387174E+17</v>
      </c>
      <c r="CP43" s="4">
        <f t="shared" si="17"/>
        <v>8.3463532221186086E+17</v>
      </c>
      <c r="CQ43" s="4">
        <f t="shared" si="18"/>
        <v>8.3465477527723341E+17</v>
      </c>
      <c r="CR43" s="4">
        <f t="shared" si="19"/>
        <v>8.3466611999806272E+17</v>
      </c>
      <c r="CS43" s="4">
        <f t="shared" si="20"/>
        <v>8.346701701683465E+17</v>
      </c>
      <c r="DN43" s="12"/>
      <c r="DO43" s="12"/>
      <c r="DP43" s="12"/>
      <c r="DQ43" s="12"/>
      <c r="DR43" s="12"/>
      <c r="DS43" s="12"/>
      <c r="DT43" s="12"/>
      <c r="DU43" s="12"/>
      <c r="DV43" s="12"/>
      <c r="DW43" s="12"/>
      <c r="DX43" s="12"/>
      <c r="DY43" s="12"/>
      <c r="DZ43" s="12"/>
      <c r="EA43" s="12"/>
      <c r="EB43" s="12"/>
      <c r="EC43" s="12"/>
      <c r="ED43" s="12"/>
      <c r="EE43" s="12"/>
      <c r="EF43" s="12"/>
      <c r="EG43" s="12"/>
      <c r="EH43" s="12"/>
      <c r="EI43" s="12"/>
    </row>
    <row r="44" spans="1:139" ht="15" customHeight="1">
      <c r="A44" s="21"/>
      <c r="B44" s="17"/>
      <c r="C44" s="17"/>
      <c r="D44" s="22"/>
      <c r="E44" s="31"/>
      <c r="F44" s="31"/>
      <c r="H44" s="23">
        <v>1.8750000000000003E-2</v>
      </c>
      <c r="I44" s="23">
        <v>3.7500000000000007E-3</v>
      </c>
      <c r="J44" s="19">
        <v>7411277435069552</v>
      </c>
      <c r="BD44" s="185" t="s">
        <v>114</v>
      </c>
      <c r="BE44" s="208">
        <f>SUM(BE3:BE43)</f>
        <v>3.4043656628439196E+19</v>
      </c>
      <c r="BF44" s="208">
        <f t="shared" ref="BF44:CS44" si="42">SUM(BF3:BF43)</f>
        <v>3.4055206547929027E+19</v>
      </c>
      <c r="BG44" s="208">
        <f t="shared" si="42"/>
        <v>3.4074793787761218E+19</v>
      </c>
      <c r="BH44" s="208">
        <f t="shared" si="42"/>
        <v>3.4093151602018533E+19</v>
      </c>
      <c r="BI44" s="208">
        <f t="shared" si="42"/>
        <v>3.4110158320512717E+19</v>
      </c>
      <c r="BJ44" s="208">
        <f t="shared" si="42"/>
        <v>3.4125874764782883E+19</v>
      </c>
      <c r="BK44" s="208">
        <f t="shared" si="42"/>
        <v>3.4140494513746694E+19</v>
      </c>
      <c r="BL44" s="208">
        <f t="shared" si="42"/>
        <v>3.4154078971336356E+19</v>
      </c>
      <c r="BM44" s="208">
        <f t="shared" si="42"/>
        <v>3.4166777905860403E+19</v>
      </c>
      <c r="BN44" s="208">
        <f t="shared" si="42"/>
        <v>3.417865535001602E+19</v>
      </c>
      <c r="BO44" s="208">
        <f t="shared" si="42"/>
        <v>3.4189822350522778E+19</v>
      </c>
      <c r="BP44" s="208">
        <f t="shared" si="42"/>
        <v>3.4200331517429649E+19</v>
      </c>
      <c r="BQ44" s="208">
        <f t="shared" si="42"/>
        <v>3.4210264666920886E+19</v>
      </c>
      <c r="BR44" s="208">
        <f t="shared" si="42"/>
        <v>3.4219661873501893E+19</v>
      </c>
      <c r="BS44" s="208">
        <f t="shared" si="42"/>
        <v>3.4228583310285406E+19</v>
      </c>
      <c r="BT44" s="208">
        <f t="shared" si="42"/>
        <v>3.4237057466814886E+19</v>
      </c>
      <c r="BU44" s="208">
        <f t="shared" si="42"/>
        <v>3.4245127330213835E+19</v>
      </c>
      <c r="BV44" s="208">
        <f t="shared" si="42"/>
        <v>3.4252810588945076E+19</v>
      </c>
      <c r="BW44" s="208">
        <f t="shared" si="42"/>
        <v>3.4260135949280301E+19</v>
      </c>
      <c r="BX44" s="208">
        <f t="shared" si="42"/>
        <v>3.4267111472844325E+19</v>
      </c>
      <c r="BY44" s="208">
        <f t="shared" si="42"/>
        <v>3.4273754384856883E+19</v>
      </c>
      <c r="BZ44" s="208">
        <f t="shared" si="42"/>
        <v>3.4280065142192542E+19</v>
      </c>
      <c r="CA44" s="208">
        <f t="shared" si="42"/>
        <v>3.4286052689729761E+19</v>
      </c>
      <c r="CB44" s="208">
        <f t="shared" si="42"/>
        <v>3.4291712609539232E+19</v>
      </c>
      <c r="CC44" s="208">
        <f t="shared" si="42"/>
        <v>3.4297049007156564E+19</v>
      </c>
      <c r="CD44" s="208">
        <f t="shared" si="42"/>
        <v>3.4302055566870213E+19</v>
      </c>
      <c r="CE44" s="208">
        <f t="shared" si="42"/>
        <v>3.430673481729099E+19</v>
      </c>
      <c r="CF44" s="208">
        <f t="shared" si="42"/>
        <v>3.4311081179579728E+19</v>
      </c>
      <c r="CG44" s="208">
        <f t="shared" si="42"/>
        <v>3.4315098016983495E+19</v>
      </c>
      <c r="CH44" s="208">
        <f t="shared" si="42"/>
        <v>3.4318781910595555E+19</v>
      </c>
      <c r="CI44" s="208">
        <f t="shared" si="42"/>
        <v>3.4322137800119169E+19</v>
      </c>
      <c r="CJ44" s="208">
        <f t="shared" si="42"/>
        <v>3.4325164133267849E+19</v>
      </c>
      <c r="CK44" s="208">
        <f t="shared" si="42"/>
        <v>3.4327866649952215E+19</v>
      </c>
      <c r="CL44" s="208">
        <f t="shared" si="42"/>
        <v>3.4330244435062514E+19</v>
      </c>
      <c r="CM44" s="208">
        <f t="shared" si="42"/>
        <v>3.4332302920713507E+19</v>
      </c>
      <c r="CN44" s="208">
        <f t="shared" si="42"/>
        <v>3.4334040812221215E+19</v>
      </c>
      <c r="CO44" s="208">
        <f t="shared" si="42"/>
        <v>3.4335462641208607E+19</v>
      </c>
      <c r="CP44" s="208">
        <f t="shared" si="42"/>
        <v>3.4336566375483601E+19</v>
      </c>
      <c r="CQ44" s="208">
        <f t="shared" si="42"/>
        <v>3.4337355681671741E+19</v>
      </c>
      <c r="CR44" s="208">
        <f t="shared" si="42"/>
        <v>3.4337827952362533E+19</v>
      </c>
      <c r="CS44" s="208">
        <f t="shared" si="42"/>
        <v>3.4337986343505727E+19</v>
      </c>
      <c r="DN44" s="12"/>
      <c r="DO44" s="12"/>
      <c r="DP44" s="12"/>
      <c r="DQ44" s="12"/>
      <c r="DR44" s="12"/>
      <c r="DS44" s="12"/>
      <c r="DT44" s="12"/>
      <c r="DU44" s="12"/>
      <c r="DV44" s="12"/>
      <c r="DW44" s="12"/>
      <c r="DX44" s="12"/>
      <c r="DY44" s="12"/>
      <c r="DZ44" s="12"/>
      <c r="EA44" s="12"/>
      <c r="EB44" s="12"/>
      <c r="EC44" s="12"/>
      <c r="ED44" s="12"/>
      <c r="EE44" s="12"/>
      <c r="EF44" s="12"/>
      <c r="EG44" s="12"/>
      <c r="EH44" s="12"/>
      <c r="EI44" s="12"/>
    </row>
    <row r="45" spans="1:139" ht="15" customHeight="1">
      <c r="A45" s="21"/>
      <c r="B45" s="17"/>
      <c r="C45" s="17"/>
      <c r="D45" s="22"/>
      <c r="E45" s="31"/>
      <c r="F45" s="31"/>
      <c r="H45" s="23">
        <v>1.8750000000000003E-2</v>
      </c>
      <c r="I45" s="23">
        <v>7.5000000000000015E-3</v>
      </c>
      <c r="J45" s="19">
        <v>7408910375701384</v>
      </c>
      <c r="M45" s="2" t="s">
        <v>224</v>
      </c>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DN45" s="12"/>
      <c r="DO45" s="12"/>
      <c r="DP45" s="12"/>
      <c r="DQ45" s="12"/>
      <c r="DR45" s="12"/>
      <c r="DS45" s="12"/>
      <c r="DT45" s="12"/>
      <c r="DU45" s="12"/>
      <c r="DV45" s="12"/>
      <c r="DW45" s="12"/>
      <c r="DX45" s="12"/>
      <c r="DY45" s="12"/>
      <c r="DZ45" s="12"/>
      <c r="EA45" s="12"/>
      <c r="EB45" s="12"/>
      <c r="EC45" s="12"/>
      <c r="ED45" s="12"/>
      <c r="EE45" s="12"/>
      <c r="EF45" s="12"/>
      <c r="EG45" s="12"/>
      <c r="EH45" s="12"/>
      <c r="EI45" s="12"/>
    </row>
    <row r="46" spans="1:139" ht="15" customHeight="1">
      <c r="A46" s="21"/>
      <c r="B46" s="17"/>
      <c r="C46" s="17"/>
      <c r="D46" s="22"/>
      <c r="E46" s="31"/>
      <c r="F46" s="31"/>
      <c r="H46" s="23">
        <v>1.8750000000000003E-2</v>
      </c>
      <c r="I46" s="23">
        <v>1.1250000000000001E-2</v>
      </c>
      <c r="J46" s="19">
        <v>7406178816851472</v>
      </c>
      <c r="M46" s="131"/>
      <c r="N46" s="134">
        <v>1</v>
      </c>
      <c r="O46" s="133">
        <v>2</v>
      </c>
      <c r="P46" s="134">
        <v>3</v>
      </c>
      <c r="Q46" s="133">
        <v>4</v>
      </c>
      <c r="R46" s="134">
        <v>5</v>
      </c>
      <c r="S46" s="133">
        <v>6</v>
      </c>
      <c r="T46" s="134">
        <v>7</v>
      </c>
      <c r="U46" s="133">
        <v>8</v>
      </c>
      <c r="V46" s="134">
        <v>9</v>
      </c>
      <c r="W46" s="133">
        <v>10</v>
      </c>
      <c r="X46" s="134">
        <v>11</v>
      </c>
      <c r="Y46" s="133">
        <v>12</v>
      </c>
      <c r="Z46" s="134">
        <v>13</v>
      </c>
      <c r="AA46" s="133">
        <v>14</v>
      </c>
      <c r="AB46" s="134">
        <v>15</v>
      </c>
      <c r="AC46" s="133">
        <v>16</v>
      </c>
      <c r="AD46" s="134">
        <v>17</v>
      </c>
      <c r="AE46" s="133">
        <v>18</v>
      </c>
      <c r="AF46" s="134">
        <v>19</v>
      </c>
      <c r="AG46" s="133">
        <v>20</v>
      </c>
      <c r="AH46" s="134">
        <v>21</v>
      </c>
      <c r="AI46" s="133">
        <v>22</v>
      </c>
      <c r="AJ46" s="134">
        <v>23</v>
      </c>
      <c r="AK46" s="133">
        <v>24</v>
      </c>
      <c r="AL46" s="134">
        <v>25</v>
      </c>
      <c r="AM46" s="133">
        <v>26</v>
      </c>
      <c r="AN46" s="134">
        <v>27</v>
      </c>
      <c r="AO46" s="133">
        <v>28</v>
      </c>
      <c r="AP46" s="134">
        <v>29</v>
      </c>
      <c r="AQ46" s="133">
        <v>30</v>
      </c>
      <c r="AR46" s="134">
        <v>31</v>
      </c>
      <c r="AS46" s="133">
        <v>32</v>
      </c>
      <c r="AT46" s="134">
        <v>33</v>
      </c>
      <c r="AU46" s="133">
        <v>34</v>
      </c>
      <c r="AV46" s="134">
        <v>35</v>
      </c>
      <c r="AW46" s="133">
        <v>36</v>
      </c>
      <c r="AX46" s="134">
        <v>37</v>
      </c>
      <c r="AY46" s="133">
        <v>38</v>
      </c>
      <c r="AZ46" s="134">
        <v>39</v>
      </c>
      <c r="BA46" s="133">
        <v>40</v>
      </c>
      <c r="BB46" s="134">
        <v>41</v>
      </c>
      <c r="BE46" t="s">
        <v>311</v>
      </c>
      <c r="BF46" s="4">
        <f>+MAX(BE44:CS44)</f>
        <v>3.4337986343505727E+19</v>
      </c>
      <c r="BH46" s="4">
        <f>+(BF46-BF47)/BF46</f>
        <v>8.5715484921612996E-3</v>
      </c>
      <c r="DN46" s="12"/>
      <c r="DO46" s="12"/>
      <c r="DP46" s="12"/>
      <c r="DQ46" s="12"/>
      <c r="DR46" s="12"/>
      <c r="DS46" s="12"/>
      <c r="DT46" s="12"/>
      <c r="DU46" s="12"/>
      <c r="DV46" s="12"/>
      <c r="DW46" s="12"/>
      <c r="DX46" s="12"/>
      <c r="DY46" s="12"/>
      <c r="DZ46" s="12"/>
      <c r="EA46" s="12"/>
      <c r="EB46" s="12"/>
      <c r="EC46" s="12"/>
      <c r="ED46" s="12"/>
      <c r="EE46" s="12"/>
      <c r="EF46" s="12"/>
      <c r="EG46" s="12"/>
      <c r="EH46" s="12"/>
      <c r="EI46" s="12"/>
    </row>
    <row r="47" spans="1:139" ht="15" customHeight="1">
      <c r="A47" s="21"/>
      <c r="B47" s="17"/>
      <c r="C47" s="17"/>
      <c r="D47" s="22"/>
      <c r="E47" s="31"/>
      <c r="F47" s="31"/>
      <c r="H47" s="23">
        <v>1.8750000000000003E-2</v>
      </c>
      <c r="I47" s="23">
        <v>1.5000000000000003E-2</v>
      </c>
      <c r="J47" s="19">
        <v>7403241173954128</v>
      </c>
      <c r="M47" s="133">
        <v>1</v>
      </c>
      <c r="N47" s="20">
        <v>0.83176646898964068</v>
      </c>
      <c r="O47" s="20">
        <v>0.83248310327841935</v>
      </c>
      <c r="P47" s="20">
        <v>0.83458968685742152</v>
      </c>
      <c r="Q47" s="20">
        <v>0.83796318617711796</v>
      </c>
      <c r="R47" s="20">
        <v>0.84242469564506628</v>
      </c>
      <c r="S47" s="20">
        <v>0.84776640094451317</v>
      </c>
      <c r="T47" s="20">
        <v>0.85377784983420746</v>
      </c>
      <c r="U47" s="20">
        <v>0.86026361384174499</v>
      </c>
      <c r="V47" s="20">
        <v>0.86705425465526198</v>
      </c>
      <c r="W47" s="20">
        <v>0.87400993659733639</v>
      </c>
      <c r="X47" s="20">
        <v>0.88102042877512965</v>
      </c>
      <c r="Y47" s="20">
        <v>0.88800196684826038</v>
      </c>
      <c r="Z47" s="20">
        <v>0.89489344263695514</v>
      </c>
      <c r="AA47" s="20">
        <v>0.90165177937084129</v>
      </c>
      <c r="AB47" s="20">
        <v>0.90824786092699794</v>
      </c>
      <c r="AC47" s="20">
        <v>0.91466250678416972</v>
      </c>
      <c r="AD47" s="20">
        <v>0.92088333367047415</v>
      </c>
      <c r="AE47" s="20">
        <v>0.92690193676237942</v>
      </c>
      <c r="AF47" s="20">
        <v>0.93271195766358783</v>
      </c>
      <c r="AG47" s="20">
        <v>0.93830752055732414</v>
      </c>
      <c r="AH47" s="20">
        <v>0.94368242800505076</v>
      </c>
      <c r="AI47" s="20">
        <v>0.94882963129114761</v>
      </c>
      <c r="AJ47" s="20">
        <v>0.95374128261680191</v>
      </c>
      <c r="AK47" s="20">
        <v>0.95840888003832281</v>
      </c>
      <c r="AL47" s="20">
        <v>0.96282383360731005</v>
      </c>
      <c r="AM47" s="20">
        <v>0.96697794649624336</v>
      </c>
      <c r="AN47" s="20">
        <v>0.97086425618710326</v>
      </c>
      <c r="AO47" s="20">
        <v>0.97447749132141537</v>
      </c>
      <c r="AP47" s="20">
        <v>0.97781469904398499</v>
      </c>
      <c r="AQ47" s="20">
        <v>0.98087502517831393</v>
      </c>
      <c r="AR47" s="20">
        <v>0.98365960760503501</v>
      </c>
      <c r="AS47" s="20">
        <v>0.98617069521040812</v>
      </c>
      <c r="AT47" s="20">
        <v>0.98841119803790101</v>
      </c>
      <c r="AU47" s="20">
        <v>0.99038390956744904</v>
      </c>
      <c r="AV47" s="20">
        <v>0.9920912662110537</v>
      </c>
      <c r="AW47" s="20">
        <v>0.99353497906182675</v>
      </c>
      <c r="AX47" s="20">
        <v>0.99471609834604946</v>
      </c>
      <c r="AY47" s="20">
        <v>0.99563498412665163</v>
      </c>
      <c r="AZ47" s="20">
        <v>0.99629163437857515</v>
      </c>
      <c r="BA47" s="20">
        <v>0.99668576209776572</v>
      </c>
      <c r="BB47" s="20">
        <v>0.99681717928503777</v>
      </c>
      <c r="BE47" t="s">
        <v>312</v>
      </c>
      <c r="BF47" s="4">
        <f>+MIN(BE44:CS44)</f>
        <v>3.4043656628439196E+19</v>
      </c>
      <c r="DN47" s="12"/>
      <c r="DO47" s="12"/>
      <c r="DP47" s="12"/>
      <c r="DQ47" s="12"/>
      <c r="DR47" s="12"/>
      <c r="DS47" s="12"/>
      <c r="DT47" s="12"/>
      <c r="DU47" s="12"/>
      <c r="DV47" s="12"/>
      <c r="DW47" s="12"/>
      <c r="DX47" s="12"/>
      <c r="DY47" s="12"/>
      <c r="DZ47" s="12"/>
      <c r="EA47" s="12"/>
      <c r="EB47" s="12"/>
      <c r="EC47" s="12"/>
      <c r="ED47" s="12"/>
      <c r="EE47" s="12"/>
      <c r="EF47" s="12"/>
      <c r="EG47" s="12"/>
      <c r="EH47" s="12"/>
      <c r="EI47" s="12"/>
    </row>
    <row r="48" spans="1:139" ht="15" customHeight="1">
      <c r="A48" s="21"/>
      <c r="B48" s="17"/>
      <c r="C48" s="17"/>
      <c r="D48" s="22"/>
      <c r="E48" s="31"/>
      <c r="F48" s="31"/>
      <c r="H48" s="23">
        <v>1.8750000000000003E-2</v>
      </c>
      <c r="I48" s="23">
        <v>1.8750000000000003E-2</v>
      </c>
      <c r="J48" s="19">
        <v>7400307060000104</v>
      </c>
      <c r="M48" s="133">
        <v>2</v>
      </c>
      <c r="N48" s="20">
        <v>0.83302995500240329</v>
      </c>
      <c r="O48" s="20">
        <v>0.83378959133791641</v>
      </c>
      <c r="P48" s="20">
        <v>0.83601655572565559</v>
      </c>
      <c r="Q48" s="20">
        <v>0.83956620956083572</v>
      </c>
      <c r="R48" s="20">
        <v>0.84423260742292117</v>
      </c>
      <c r="S48" s="20">
        <v>0.84978387502455222</v>
      </c>
      <c r="T48" s="20">
        <v>0.85599246467179868</v>
      </c>
      <c r="U48" s="20">
        <v>0.86265370915269146</v>
      </c>
      <c r="V48" s="20">
        <v>0.86959489083952746</v>
      </c>
      <c r="W48" s="20">
        <v>0.87667680852952745</v>
      </c>
      <c r="X48" s="20">
        <v>0.88379171279003232</v>
      </c>
      <c r="Y48" s="20">
        <v>0.89085902443778653</v>
      </c>
      <c r="Z48" s="20">
        <v>0.89782068478258181</v>
      </c>
      <c r="AA48" s="20">
        <v>0.90463631047588711</v>
      </c>
      <c r="AB48" s="20">
        <v>0.91127894087913175</v>
      </c>
      <c r="AC48" s="20">
        <v>0.91773113583200883</v>
      </c>
      <c r="AD48" s="20">
        <v>0.92398185247953712</v>
      </c>
      <c r="AE48" s="20">
        <v>0.93002379735934348</v>
      </c>
      <c r="AF48" s="20">
        <v>0.93585152617556855</v>
      </c>
      <c r="AG48" s="20">
        <v>0.94146000610972824</v>
      </c>
      <c r="AH48" s="20">
        <v>0.94684380828990267</v>
      </c>
      <c r="AI48" s="20">
        <v>0.9519966525685235</v>
      </c>
      <c r="AJ48" s="20">
        <v>0.95691141797538182</v>
      </c>
      <c r="AK48" s="20">
        <v>0.96158033290972555</v>
      </c>
      <c r="AL48" s="20">
        <v>0.96599547237585393</v>
      </c>
      <c r="AM48" s="20">
        <v>0.97014927487142899</v>
      </c>
      <c r="AN48" s="20">
        <v>0.97403526933814188</v>
      </c>
      <c r="AO48" s="20">
        <v>0.97764857056054055</v>
      </c>
      <c r="AP48" s="20">
        <v>0.98098637342599071</v>
      </c>
      <c r="AQ48" s="20">
        <v>0.98404785060825961</v>
      </c>
      <c r="AR48" s="20">
        <v>0.98683397360105651</v>
      </c>
      <c r="AS48" s="20">
        <v>0.98934681423829374</v>
      </c>
      <c r="AT48" s="20">
        <v>0.99158905103055373</v>
      </c>
      <c r="AU48" s="20">
        <v>0.99356332632191369</v>
      </c>
      <c r="AV48" s="20">
        <v>0.99527194797916929</v>
      </c>
      <c r="AW48" s="20">
        <v>0.99671659607934093</v>
      </c>
      <c r="AX48" s="20">
        <v>0.99789832150209645</v>
      </c>
      <c r="AY48" s="20">
        <v>0.99881756020647317</v>
      </c>
      <c r="AZ48" s="20">
        <v>0.99947437300029662</v>
      </c>
      <c r="BA48" s="20">
        <v>0.99986857106001603</v>
      </c>
      <c r="BB48" s="20">
        <v>0.99999899999999997</v>
      </c>
      <c r="DN48" s="12"/>
      <c r="DO48" s="12"/>
      <c r="DP48" s="12"/>
      <c r="DQ48" s="12"/>
      <c r="DR48" s="12"/>
      <c r="DS48" s="12"/>
      <c r="DT48" s="12"/>
      <c r="DU48" s="12"/>
      <c r="DV48" s="12"/>
      <c r="DW48" s="12"/>
      <c r="DX48" s="12"/>
      <c r="DY48" s="12"/>
      <c r="DZ48" s="12"/>
      <c r="EA48" s="12"/>
      <c r="EB48" s="12"/>
      <c r="EC48" s="12"/>
      <c r="ED48" s="12"/>
      <c r="EE48" s="12"/>
      <c r="EF48" s="12"/>
      <c r="EG48" s="12"/>
      <c r="EH48" s="12"/>
      <c r="EI48" s="12"/>
    </row>
    <row r="49" spans="1:139" ht="15" customHeight="1">
      <c r="A49" s="21"/>
      <c r="B49" s="17"/>
      <c r="C49" s="17"/>
      <c r="D49" s="22"/>
      <c r="E49" s="31"/>
      <c r="F49" s="31"/>
      <c r="H49" s="23">
        <v>1.8750000000000003E-2</v>
      </c>
      <c r="I49" s="23">
        <v>2.2500000000000003E-2</v>
      </c>
      <c r="J49" s="19">
        <v>7397357453197840</v>
      </c>
      <c r="M49" s="133">
        <v>3</v>
      </c>
      <c r="N49" s="20">
        <v>0.81782915689102853</v>
      </c>
      <c r="O49" s="20">
        <v>0.81863393080316071</v>
      </c>
      <c r="P49" s="20">
        <v>0.82098725435011144</v>
      </c>
      <c r="Q49" s="20">
        <v>0.82472153329881315</v>
      </c>
      <c r="R49" s="20">
        <v>0.82960235148651695</v>
      </c>
      <c r="S49" s="20">
        <v>0.83537251404013324</v>
      </c>
      <c r="T49" s="20">
        <v>0.84178665525123297</v>
      </c>
      <c r="U49" s="20">
        <v>0.84863049350331476</v>
      </c>
      <c r="V49" s="20">
        <v>0.85572798954431306</v>
      </c>
      <c r="W49" s="20">
        <v>0.86294064969866646</v>
      </c>
      <c r="X49" s="20">
        <v>0.87016338900488677</v>
      </c>
      <c r="Y49" s="20">
        <v>0.87731899007808511</v>
      </c>
      <c r="Z49" s="20">
        <v>0.8843526453387569</v>
      </c>
      <c r="AA49" s="20">
        <v>0.89122682715645229</v>
      </c>
      <c r="AB49" s="20">
        <v>0.8979168927882859</v>
      </c>
      <c r="AC49" s="20">
        <v>0.90440726115748604</v>
      </c>
      <c r="AD49" s="20">
        <v>0.91068834100101226</v>
      </c>
      <c r="AE49" s="20">
        <v>0.91675402113524485</v>
      </c>
      <c r="AF49" s="20">
        <v>0.92259983312464988</v>
      </c>
      <c r="AG49" s="20">
        <v>0.92822161482494547</v>
      </c>
      <c r="AH49" s="20">
        <v>0.93361472772590237</v>
      </c>
      <c r="AI49" s="20">
        <v>0.93877365513892674</v>
      </c>
      <c r="AJ49" s="20">
        <v>0.94369199882568577</v>
      </c>
      <c r="AK49" s="20">
        <v>0.94836269257223571</v>
      </c>
      <c r="AL49" s="20">
        <v>0.95277845983638565</v>
      </c>
      <c r="AM49" s="20">
        <v>0.95693233900997077</v>
      </c>
      <c r="AN49" s="20">
        <v>0.960818335930264</v>
      </c>
      <c r="AO49" s="20">
        <v>0.96443192404023848</v>
      </c>
      <c r="AP49" s="20">
        <v>0.96777045747851131</v>
      </c>
      <c r="AQ49" s="20">
        <v>0.97083313559511386</v>
      </c>
      <c r="AR49" s="20">
        <v>0.97362079999187456</v>
      </c>
      <c r="AS49" s="20">
        <v>0.97613535870161772</v>
      </c>
      <c r="AT49" s="20">
        <v>0.97837929144523161</v>
      </c>
      <c r="AU49" s="20">
        <v>0.98035509574920887</v>
      </c>
      <c r="AV49" s="20">
        <v>0.98206496800729648</v>
      </c>
      <c r="AW49" s="20">
        <v>0.98351055248656571</v>
      </c>
      <c r="AX49" s="20">
        <v>0.98469290471932347</v>
      </c>
      <c r="AY49" s="20">
        <v>0.9856125217323326</v>
      </c>
      <c r="AZ49" s="20">
        <v>0.98626952710283811</v>
      </c>
      <c r="BA49" s="20">
        <v>0.98666381302353823</v>
      </c>
      <c r="BB49" s="20">
        <v>0.98679526278783791</v>
      </c>
      <c r="DN49" s="12"/>
      <c r="DO49" s="12"/>
      <c r="DP49" s="12"/>
      <c r="DQ49" s="12"/>
      <c r="DR49" s="12"/>
      <c r="DS49" s="12"/>
      <c r="DT49" s="12"/>
      <c r="DU49" s="12"/>
      <c r="DV49" s="12"/>
      <c r="DW49" s="12"/>
      <c r="DX49" s="12"/>
      <c r="DY49" s="12"/>
      <c r="DZ49" s="12"/>
      <c r="EA49" s="12"/>
      <c r="EB49" s="12"/>
      <c r="EC49" s="12"/>
      <c r="ED49" s="12"/>
      <c r="EE49" s="12"/>
      <c r="EF49" s="12"/>
      <c r="EG49" s="12"/>
      <c r="EH49" s="12"/>
      <c r="EI49" s="12"/>
    </row>
    <row r="50" spans="1:139" ht="15" customHeight="1">
      <c r="A50" s="21"/>
      <c r="B50" s="17"/>
      <c r="C50" s="17"/>
      <c r="D50" s="22"/>
      <c r="E50" s="31"/>
      <c r="F50" s="31"/>
      <c r="H50" s="23">
        <v>1.8750000000000003E-2</v>
      </c>
      <c r="I50" s="23">
        <v>2.6250000000000002E-2</v>
      </c>
      <c r="J50" s="19">
        <v>7394436969331344</v>
      </c>
      <c r="M50" s="133">
        <v>4</v>
      </c>
      <c r="N50" s="20">
        <v>0.80029206035663414</v>
      </c>
      <c r="O50" s="20">
        <v>0.80114447565188796</v>
      </c>
      <c r="P50" s="20">
        <v>0.80363104428247356</v>
      </c>
      <c r="Q50" s="20">
        <v>0.80755952859543767</v>
      </c>
      <c r="R50" s="20">
        <v>0.81266523877995656</v>
      </c>
      <c r="S50" s="20">
        <v>0.81866424084193889</v>
      </c>
      <c r="T50" s="20">
        <v>0.82529260083194422</v>
      </c>
      <c r="U50" s="20">
        <v>0.8323261422986008</v>
      </c>
      <c r="V50" s="20">
        <v>0.83958555235154164</v>
      </c>
      <c r="W50" s="20">
        <v>0.84693321065084648</v>
      </c>
      <c r="X50" s="20">
        <v>0.8542669270750145</v>
      </c>
      <c r="Y50" s="20">
        <v>0.86151306065411926</v>
      </c>
      <c r="Z50" s="20">
        <v>0.86862026470424503</v>
      </c>
      <c r="AA50" s="20">
        <v>0.87555403929517073</v>
      </c>
      <c r="AB50" s="20">
        <v>0.88229221590612594</v>
      </c>
      <c r="AC50" s="20">
        <v>0.88882119224889666</v>
      </c>
      <c r="AD50" s="20">
        <v>0.89513293176284159</v>
      </c>
      <c r="AE50" s="20">
        <v>0.90122257640009384</v>
      </c>
      <c r="AF50" s="20">
        <v>0.90708668919224955</v>
      </c>
      <c r="AG50" s="20">
        <v>0.91272200758158539</v>
      </c>
      <c r="AH50" s="20">
        <v>0.9181247013050734</v>
      </c>
      <c r="AI50" s="20">
        <v>0.9232900148778449</v>
      </c>
      <c r="AJ50" s="20">
        <v>0.92821226609115981</v>
      </c>
      <c r="AK50" s="20">
        <v>0.93288507328306625</v>
      </c>
      <c r="AL50" s="20">
        <v>0.93730178959548793</v>
      </c>
      <c r="AM50" s="20">
        <v>0.94145602387889604</v>
      </c>
      <c r="AN50" s="20">
        <v>0.94534224160794977</v>
      </c>
      <c r="AO50" s="20">
        <v>0.94895625414460649</v>
      </c>
      <c r="AP50" s="20">
        <v>0.95229558036183404</v>
      </c>
      <c r="AQ50" s="20">
        <v>0.95535945050143989</v>
      </c>
      <c r="AR50" s="20">
        <v>0.9581486041060725</v>
      </c>
      <c r="AS50" s="20">
        <v>0.96066480175304303</v>
      </c>
      <c r="AT50" s="20">
        <v>0.96291035028967764</v>
      </c>
      <c r="AU50" s="20">
        <v>0.96488761215832575</v>
      </c>
      <c r="AV50" s="20">
        <v>0.9665986850560162</v>
      </c>
      <c r="AW50" s="20">
        <v>0.96804517635524756</v>
      </c>
      <c r="AX50" s="20">
        <v>0.9692281473597032</v>
      </c>
      <c r="AY50" s="20">
        <v>0.9701481459946335</v>
      </c>
      <c r="AZ50" s="20">
        <v>0.97080535554281366</v>
      </c>
      <c r="BA50" s="20">
        <v>0.9711997372000668</v>
      </c>
      <c r="BB50" s="20">
        <v>0.97133121230732478</v>
      </c>
      <c r="DN50" s="12"/>
      <c r="DO50" s="12"/>
      <c r="DP50" s="12"/>
      <c r="DQ50" s="12"/>
      <c r="DR50" s="12"/>
      <c r="DS50" s="12"/>
      <c r="DT50" s="12"/>
      <c r="DU50" s="12"/>
      <c r="DV50" s="12"/>
      <c r="DW50" s="12"/>
      <c r="DX50" s="12"/>
      <c r="DY50" s="12"/>
      <c r="DZ50" s="12"/>
      <c r="EA50" s="12"/>
      <c r="EB50" s="12"/>
      <c r="EC50" s="12"/>
      <c r="ED50" s="12"/>
      <c r="EE50" s="12"/>
      <c r="EF50" s="12"/>
      <c r="EG50" s="12"/>
      <c r="EH50" s="12"/>
      <c r="EI50" s="12"/>
    </row>
    <row r="51" spans="1:139" ht="15" customHeight="1">
      <c r="A51" s="21"/>
      <c r="B51" s="17"/>
      <c r="C51" s="17"/>
      <c r="D51" s="22"/>
      <c r="E51" s="31"/>
      <c r="F51" s="31"/>
      <c r="H51" s="23">
        <v>1.8750000000000003E-2</v>
      </c>
      <c r="I51" s="23">
        <v>3.0000000000000006E-2</v>
      </c>
      <c r="J51" s="19">
        <v>7391515122587240</v>
      </c>
      <c r="M51" s="133">
        <v>5</v>
      </c>
      <c r="N51" s="20">
        <v>0.78143255217801655</v>
      </c>
      <c r="O51" s="20">
        <v>0.78233551837637194</v>
      </c>
      <c r="P51" s="20">
        <v>0.78496323557391356</v>
      </c>
      <c r="Q51" s="20">
        <v>0.78909674832717702</v>
      </c>
      <c r="R51" s="20">
        <v>0.79443890156779617</v>
      </c>
      <c r="S51" s="20">
        <v>0.80067742601952696</v>
      </c>
      <c r="T51" s="20">
        <v>0.80752905150369769</v>
      </c>
      <c r="U51" s="20">
        <v>0.81475951997639728</v>
      </c>
      <c r="V51" s="20">
        <v>0.82218639163916807</v>
      </c>
      <c r="W51" s="20">
        <v>0.82967317442492805</v>
      </c>
      <c r="X51" s="20">
        <v>0.83712085407513914</v>
      </c>
      <c r="Y51" s="20">
        <v>0.84445961432952699</v>
      </c>
      <c r="Z51" s="20">
        <v>0.85164178934056955</v>
      </c>
      <c r="AA51" s="20">
        <v>0.85863608519513812</v>
      </c>
      <c r="AB51" s="20">
        <v>0.86542295973720096</v>
      </c>
      <c r="AC51" s="20">
        <v>0.87199090771209598</v>
      </c>
      <c r="AD51" s="20">
        <v>0.87833354406334452</v>
      </c>
      <c r="AE51" s="20">
        <v>0.88444733275671994</v>
      </c>
      <c r="AF51" s="20">
        <v>0.8903299191741717</v>
      </c>
      <c r="AG51" s="20">
        <v>0.89597896872449168</v>
      </c>
      <c r="AH51" s="20">
        <v>0.90139147450466994</v>
      </c>
      <c r="AI51" s="20">
        <v>0.90656344096966279</v>
      </c>
      <c r="AJ51" s="20">
        <v>0.91148989367623245</v>
      </c>
      <c r="AK51" s="20">
        <v>0.91616511675198975</v>
      </c>
      <c r="AL51" s="20">
        <v>0.92058307322529764</v>
      </c>
      <c r="AM51" s="20">
        <v>0.92473791646644088</v>
      </c>
      <c r="AN51" s="20">
        <v>0.92862455328879856</v>
      </c>
      <c r="AO51" s="20">
        <v>0.93223911610911558</v>
      </c>
      <c r="AP51" s="20">
        <v>0.93557929056811795</v>
      </c>
      <c r="AQ51" s="20">
        <v>0.93864434388762419</v>
      </c>
      <c r="AR51" s="20">
        <v>0.94143493586894667</v>
      </c>
      <c r="AS51" s="20">
        <v>0.94395269693915251</v>
      </c>
      <c r="AT51" s="20">
        <v>0.94619978279920924</v>
      </c>
      <c r="AU51" s="20">
        <v>0.94817843206948305</v>
      </c>
      <c r="AV51" s="20">
        <v>0.9498906541922284</v>
      </c>
      <c r="AW51" s="20">
        <v>0.95133802054308569</v>
      </c>
      <c r="AX51" s="20">
        <v>0.95252159803960768</v>
      </c>
      <c r="AY51" s="20">
        <v>0.95344197804664998</v>
      </c>
      <c r="AZ51" s="20">
        <v>0.95409939917637454</v>
      </c>
      <c r="BA51" s="20">
        <v>0.95449388261405799</v>
      </c>
      <c r="BB51" s="20">
        <v>0.95462538625539872</v>
      </c>
      <c r="DN51" s="12"/>
      <c r="DO51" s="12"/>
      <c r="DP51" s="12"/>
      <c r="DQ51" s="12"/>
      <c r="DR51" s="12"/>
      <c r="DS51" s="12"/>
      <c r="DT51" s="12"/>
      <c r="DU51" s="12"/>
      <c r="DV51" s="12"/>
      <c r="DW51" s="12"/>
      <c r="DX51" s="12"/>
      <c r="DY51" s="12"/>
      <c r="DZ51" s="12"/>
      <c r="EA51" s="12"/>
      <c r="EB51" s="12"/>
      <c r="EC51" s="12"/>
      <c r="ED51" s="12"/>
      <c r="EE51" s="12"/>
      <c r="EF51" s="12"/>
      <c r="EG51" s="12"/>
      <c r="EH51" s="12"/>
      <c r="EI51" s="12"/>
    </row>
    <row r="52" spans="1:139" ht="15" customHeight="1">
      <c r="A52" s="21"/>
      <c r="B52" s="17"/>
      <c r="C52" s="17"/>
      <c r="D52" s="22"/>
      <c r="E52" s="31"/>
      <c r="F52" s="31"/>
      <c r="H52" s="23">
        <v>1.8750000000000003E-2</v>
      </c>
      <c r="I52" s="23">
        <v>3.3750000000000002E-2</v>
      </c>
      <c r="J52" s="19">
        <v>7388613377466168</v>
      </c>
      <c r="M52" s="133">
        <v>6</v>
      </c>
      <c r="N52" s="20">
        <v>0.76259229070380874</v>
      </c>
      <c r="O52" s="20">
        <v>0.76354915599970952</v>
      </c>
      <c r="P52" s="20">
        <v>0.76632702998344115</v>
      </c>
      <c r="Q52" s="20">
        <v>0.77067772505892096</v>
      </c>
      <c r="R52" s="20">
        <v>0.7762690147902287</v>
      </c>
      <c r="S52" s="20">
        <v>0.78275850941734204</v>
      </c>
      <c r="T52" s="20">
        <v>0.78984283061582761</v>
      </c>
      <c r="U52" s="20">
        <v>0.79727755401017786</v>
      </c>
      <c r="V52" s="20">
        <v>0.80487736928774178</v>
      </c>
      <c r="W52" s="20">
        <v>0.81250725842895766</v>
      </c>
      <c r="X52" s="20">
        <v>0.82007171830793513</v>
      </c>
      <c r="Y52" s="20">
        <v>0.82750503802110964</v>
      </c>
      <c r="Z52" s="20">
        <v>0.83476346418889202</v>
      </c>
      <c r="AA52" s="20">
        <v>0.841819092058953</v>
      </c>
      <c r="AB52" s="20">
        <v>0.8486551549183764</v>
      </c>
      <c r="AC52" s="20">
        <v>0.85526236011608425</v>
      </c>
      <c r="AD52" s="20">
        <v>0.86163606550837013</v>
      </c>
      <c r="AE52" s="20">
        <v>0.86777412297526191</v>
      </c>
      <c r="AF52" s="20">
        <v>0.87367530715183206</v>
      </c>
      <c r="AG52" s="20">
        <v>0.87933823836614722</v>
      </c>
      <c r="AH52" s="20">
        <v>0.88476074605571708</v>
      </c>
      <c r="AI52" s="20">
        <v>0.88993959346083218</v>
      </c>
      <c r="AJ52" s="20">
        <v>0.89487050474359031</v>
      </c>
      <c r="AK52" s="20">
        <v>0.89954841222331716</v>
      </c>
      <c r="AL52" s="20">
        <v>0.90396786879944679</v>
      </c>
      <c r="AM52" s="20">
        <v>0.90812354871625423</v>
      </c>
      <c r="AN52" s="20">
        <v>0.91201078176381134</v>
      </c>
      <c r="AO52" s="20">
        <v>0.91562600691938856</v>
      </c>
      <c r="AP52" s="20">
        <v>0.91896707664176991</v>
      </c>
      <c r="AQ52" s="20">
        <v>0.92203330170230113</v>
      </c>
      <c r="AR52" s="20">
        <v>0.92482528072095926</v>
      </c>
      <c r="AS52" s="20">
        <v>0.92734453101127901</v>
      </c>
      <c r="AT52" s="20">
        <v>0.9295930760312614</v>
      </c>
      <c r="AU52" s="20">
        <v>0.9315730422686912</v>
      </c>
      <c r="AV52" s="20">
        <v>0.93328636000698217</v>
      </c>
      <c r="AW52" s="20">
        <v>0.93473456657580567</v>
      </c>
      <c r="AX52" s="20">
        <v>0.9359187338940721</v>
      </c>
      <c r="AY52" s="20">
        <v>0.93683949101668629</v>
      </c>
      <c r="AZ52" s="20">
        <v>0.93749712711905031</v>
      </c>
      <c r="BA52" s="20">
        <v>0.93789171624559997</v>
      </c>
      <c r="BB52" s="20">
        <v>0.93802325051236257</v>
      </c>
      <c r="DN52" s="12"/>
      <c r="DO52" s="12"/>
      <c r="DP52" s="12"/>
      <c r="DQ52" s="12"/>
      <c r="DR52" s="12"/>
      <c r="DS52" s="12"/>
      <c r="DT52" s="12"/>
      <c r="DU52" s="12"/>
      <c r="DV52" s="12"/>
      <c r="DW52" s="12"/>
      <c r="DX52" s="12"/>
      <c r="DY52" s="12"/>
      <c r="DZ52" s="12"/>
      <c r="EA52" s="12"/>
      <c r="EB52" s="12"/>
      <c r="EC52" s="12"/>
      <c r="ED52" s="12"/>
      <c r="EE52" s="12"/>
      <c r="EF52" s="12"/>
      <c r="EG52" s="12"/>
      <c r="EH52" s="12"/>
      <c r="EI52" s="12"/>
    </row>
    <row r="53" spans="1:139" ht="15" customHeight="1">
      <c r="A53" s="21"/>
      <c r="B53" s="17"/>
      <c r="C53" s="17"/>
      <c r="D53" s="22"/>
      <c r="E53" s="31"/>
      <c r="F53" s="31"/>
      <c r="H53" s="23">
        <v>1.8750000000000003E-2</v>
      </c>
      <c r="I53" s="23">
        <v>3.7500000000000006E-2</v>
      </c>
      <c r="J53" s="19">
        <v>7385713555073272</v>
      </c>
      <c r="M53" s="133">
        <v>7</v>
      </c>
      <c r="N53" s="20">
        <v>0.74364900033530867</v>
      </c>
      <c r="O53" s="20">
        <v>0.74466359697770756</v>
      </c>
      <c r="P53" s="20">
        <v>0.74760185159409731</v>
      </c>
      <c r="Q53" s="20">
        <v>0.75218332792143827</v>
      </c>
      <c r="R53" s="20">
        <v>0.75803767148322898</v>
      </c>
      <c r="S53" s="20">
        <v>0.76479038948327382</v>
      </c>
      <c r="T53" s="20">
        <v>0.77211723515776354</v>
      </c>
      <c r="U53" s="20">
        <v>0.77976364797149744</v>
      </c>
      <c r="V53" s="20">
        <v>0.78754182373555848</v>
      </c>
      <c r="W53" s="20">
        <v>0.7953186577734862</v>
      </c>
      <c r="X53" s="20">
        <v>0.80300254965623308</v>
      </c>
      <c r="Y53" s="20">
        <v>0.81053220576813745</v>
      </c>
      <c r="Z53" s="20">
        <v>0.81786802884850618</v>
      </c>
      <c r="AA53" s="20">
        <v>0.8249856901598781</v>
      </c>
      <c r="AB53" s="20">
        <v>0.83187134478828262</v>
      </c>
      <c r="AC53" s="20">
        <v>0.83851802480082815</v>
      </c>
      <c r="AD53" s="20">
        <v>0.84492291736927416</v>
      </c>
      <c r="AE53" s="20">
        <v>0.8510853246410931</v>
      </c>
      <c r="AF53" s="20">
        <v>0.85700519372710959</v>
      </c>
      <c r="AG53" s="20">
        <v>0.86268212489057161</v>
      </c>
      <c r="AH53" s="20">
        <v>0.86811479498936939</v>
      </c>
      <c r="AI53" s="20">
        <v>0.87330072448522045</v>
      </c>
      <c r="AJ53" s="20">
        <v>0.87823632632667825</v>
      </c>
      <c r="AK53" s="20">
        <v>0.88291716402986808</v>
      </c>
      <c r="AL53" s="20">
        <v>0.88733836045370273</v>
      </c>
      <c r="AM53" s="20">
        <v>0.89149508861993332</v>
      </c>
      <c r="AN53" s="20">
        <v>0.89538308328467886</v>
      </c>
      <c r="AO53" s="20">
        <v>0.89899907696046655</v>
      </c>
      <c r="AP53" s="20">
        <v>0.90234108776887978</v>
      </c>
      <c r="AQ53" s="20">
        <v>0.90540847640674049</v>
      </c>
      <c r="AR53" s="20">
        <v>0.90820179613774799</v>
      </c>
      <c r="AS53" s="20">
        <v>0.91072246738951579</v>
      </c>
      <c r="AT53" s="20">
        <v>0.91297239823307963</v>
      </c>
      <c r="AU53" s="20">
        <v>0.91495361462478886</v>
      </c>
      <c r="AV53" s="20">
        <v>0.91666797594536809</v>
      </c>
      <c r="AW53" s="20">
        <v>0.91811698799935393</v>
      </c>
      <c r="AX53" s="20">
        <v>0.9193017270435887</v>
      </c>
      <c r="AY53" s="20">
        <v>0.92022285521244029</v>
      </c>
      <c r="AZ53" s="20">
        <v>0.92088070754422424</v>
      </c>
      <c r="BA53" s="20">
        <v>0.92127540504576799</v>
      </c>
      <c r="BB53" s="20">
        <v>0.92140697140725281</v>
      </c>
      <c r="DN53" s="12"/>
      <c r="DO53" s="12"/>
      <c r="DP53" s="12"/>
      <c r="DQ53" s="12"/>
      <c r="DR53" s="12"/>
      <c r="DS53" s="12"/>
      <c r="DT53" s="12"/>
      <c r="DU53" s="12"/>
      <c r="DV53" s="12"/>
      <c r="DW53" s="12"/>
      <c r="DX53" s="12"/>
      <c r="DY53" s="12"/>
      <c r="DZ53" s="12"/>
      <c r="EA53" s="12"/>
      <c r="EB53" s="12"/>
      <c r="EC53" s="12"/>
      <c r="ED53" s="12"/>
      <c r="EE53" s="12"/>
      <c r="EF53" s="12"/>
      <c r="EG53" s="12"/>
      <c r="EH53" s="12"/>
      <c r="EI53" s="12"/>
    </row>
    <row r="54" spans="1:139" ht="15" customHeight="1">
      <c r="A54" s="21"/>
      <c r="B54" s="17"/>
      <c r="C54" s="17"/>
      <c r="D54" s="22"/>
      <c r="E54" s="31"/>
      <c r="F54" s="31"/>
      <c r="H54" s="23">
        <v>1.8750000000000003E-2</v>
      </c>
      <c r="I54" s="23">
        <v>4.1250000000000009E-2</v>
      </c>
      <c r="J54" s="19">
        <v>7382828746939400</v>
      </c>
      <c r="M54" s="133">
        <v>8</v>
      </c>
      <c r="N54" s="20">
        <v>0.72488780705201405</v>
      </c>
      <c r="O54" s="20">
        <v>0.72596450447792749</v>
      </c>
      <c r="P54" s="20">
        <v>0.72907470586578382</v>
      </c>
      <c r="Q54" s="20">
        <v>0.73390213200088961</v>
      </c>
      <c r="R54" s="20">
        <v>0.74003474818863602</v>
      </c>
      <c r="S54" s="20">
        <v>0.74706377394598911</v>
      </c>
      <c r="T54" s="20">
        <v>0.75464336549587585</v>
      </c>
      <c r="U54" s="20">
        <v>0.7625089891198179</v>
      </c>
      <c r="V54" s="20">
        <v>0.7704708554648011</v>
      </c>
      <c r="W54" s="20">
        <v>0.77839830984227087</v>
      </c>
      <c r="X54" s="20">
        <v>0.78620410388255102</v>
      </c>
      <c r="Y54" s="20">
        <v>0.79383170368946554</v>
      </c>
      <c r="Z54" s="20">
        <v>0.80124592362492841</v>
      </c>
      <c r="AA54" s="20">
        <v>0.80842620064791548</v>
      </c>
      <c r="AB54" s="20">
        <v>0.81536175526434063</v>
      </c>
      <c r="AC54" s="20">
        <v>0.82204805240553114</v>
      </c>
      <c r="AD54" s="20">
        <v>0.82848419006812535</v>
      </c>
      <c r="AE54" s="20">
        <v>0.83467097911240962</v>
      </c>
      <c r="AF54" s="20">
        <v>0.84060957880149745</v>
      </c>
      <c r="AG54" s="20">
        <v>0.84630059209176089</v>
      </c>
      <c r="AH54" s="20">
        <v>0.85174355254139378</v>
      </c>
      <c r="AI54" s="20">
        <v>0.85693673555099037</v>
      </c>
      <c r="AJ54" s="20">
        <v>0.86187723248501957</v>
      </c>
      <c r="AK54" s="20">
        <v>0.86656122137138392</v>
      </c>
      <c r="AL54" s="20">
        <v>0.87098437535813722</v>
      </c>
      <c r="AM54" s="20">
        <v>0.87514234528388957</v>
      </c>
      <c r="AN54" s="20">
        <v>0.87903125337535182</v>
      </c>
      <c r="AO54" s="20">
        <v>0.88264811362548945</v>
      </c>
      <c r="AP54" s="20">
        <v>0.88599110788726043</v>
      </c>
      <c r="AQ54" s="20">
        <v>0.88905965262082587</v>
      </c>
      <c r="AR54" s="20">
        <v>0.89185426945749169</v>
      </c>
      <c r="AS54" s="20">
        <v>0.89437629709166944</v>
      </c>
      <c r="AT54" s="20">
        <v>0.89662754347411766</v>
      </c>
      <c r="AU54" s="20">
        <v>0.89860994524898608</v>
      </c>
      <c r="AV54" s="20">
        <v>0.9003252985834348</v>
      </c>
      <c r="AW54" s="20">
        <v>0.90177508058964195</v>
      </c>
      <c r="AX54" s="20">
        <v>0.90296037132880302</v>
      </c>
      <c r="AY54" s="20">
        <v>0.9038818622291942</v>
      </c>
      <c r="AZ54" s="20">
        <v>0.90453992977758746</v>
      </c>
      <c r="BA54" s="20">
        <v>0.90493473692734816</v>
      </c>
      <c r="BB54" s="20">
        <v>0.90506633625673472</v>
      </c>
      <c r="DN54" s="12"/>
      <c r="DO54" s="12"/>
      <c r="DP54" s="12"/>
      <c r="DQ54" s="12"/>
      <c r="DR54" s="12"/>
      <c r="DS54" s="12"/>
      <c r="DT54" s="12"/>
      <c r="DU54" s="12"/>
      <c r="DV54" s="12"/>
      <c r="DW54" s="12"/>
      <c r="DX54" s="12"/>
      <c r="DY54" s="12"/>
      <c r="DZ54" s="12"/>
      <c r="EA54" s="12"/>
      <c r="EB54" s="12"/>
      <c r="EC54" s="12"/>
      <c r="ED54" s="12"/>
      <c r="EE54" s="12"/>
      <c r="EF54" s="12"/>
      <c r="EG54" s="12"/>
      <c r="EH54" s="12"/>
      <c r="EI54" s="12"/>
    </row>
    <row r="55" spans="1:139" ht="15" customHeight="1">
      <c r="H55" s="23">
        <v>1.8750000000000003E-2</v>
      </c>
      <c r="I55" s="23">
        <v>4.5000000000000005E-2</v>
      </c>
      <c r="J55" s="19">
        <v>7379946448627088</v>
      </c>
      <c r="M55" s="133">
        <v>9</v>
      </c>
      <c r="N55" s="20">
        <v>0.70611291416222033</v>
      </c>
      <c r="O55" s="20">
        <v>0.707256685830145</v>
      </c>
      <c r="P55" s="20">
        <v>0.7105518962672398</v>
      </c>
      <c r="Q55" s="20">
        <v>0.71564215966416589</v>
      </c>
      <c r="R55" s="20">
        <v>0.72206965937017087</v>
      </c>
      <c r="S55" s="20">
        <v>0.72938893907551672</v>
      </c>
      <c r="T55" s="20">
        <v>0.73723188638421056</v>
      </c>
      <c r="U55" s="20">
        <v>0.74532431224053863</v>
      </c>
      <c r="V55" s="20">
        <v>0.75347509551674485</v>
      </c>
      <c r="W55" s="20">
        <v>0.76155666943410849</v>
      </c>
      <c r="X55" s="20">
        <v>0.76948664552336288</v>
      </c>
      <c r="Y55" s="20">
        <v>0.77721362142530359</v>
      </c>
      <c r="Z55" s="20">
        <v>0.78470708969890612</v>
      </c>
      <c r="AA55" s="20">
        <v>0.79195044457754094</v>
      </c>
      <c r="AB55" s="20">
        <v>0.79893611255035613</v>
      </c>
      <c r="AC55" s="20">
        <v>0.80566209512797937</v>
      </c>
      <c r="AD55" s="20">
        <v>0.81212947769822286</v>
      </c>
      <c r="AE55" s="20">
        <v>0.81834063413001823</v>
      </c>
      <c r="AF55" s="20">
        <v>0.82429797194821153</v>
      </c>
      <c r="AG55" s="20">
        <v>0.83000311710886354</v>
      </c>
      <c r="AH55" s="20">
        <v>0.8354564673222854</v>
      </c>
      <c r="AI55" s="20">
        <v>0.84065704971848609</v>
      </c>
      <c r="AJ55" s="20">
        <v>0.84560262313884926</v>
      </c>
      <c r="AK55" s="20">
        <v>0.85028996352915587</v>
      </c>
      <c r="AL55" s="20">
        <v>0.85471527489767218</v>
      </c>
      <c r="AM55" s="20">
        <v>0.85887466577939187</v>
      </c>
      <c r="AN55" s="20">
        <v>0.86276462890912575</v>
      </c>
      <c r="AO55" s="20">
        <v>0.86638244834803757</v>
      </c>
      <c r="AP55" s="20">
        <v>0.86972646719783731</v>
      </c>
      <c r="AQ55" s="20">
        <v>0.87279616284631922</v>
      </c>
      <c r="AR55" s="20">
        <v>0.87559203732273094</v>
      </c>
      <c r="AS55" s="20">
        <v>0.87811536160218451</v>
      </c>
      <c r="AT55" s="20">
        <v>0.88036785747092738</v>
      </c>
      <c r="AU55" s="20">
        <v>0.88235138299543248</v>
      </c>
      <c r="AV55" s="20">
        <v>0.88406767838841216</v>
      </c>
      <c r="AW55" s="20">
        <v>0.88551819507508001</v>
      </c>
      <c r="AX55" s="20">
        <v>0.88670401658758113</v>
      </c>
      <c r="AY55" s="20">
        <v>0.88762586050302439</v>
      </c>
      <c r="AZ55" s="20">
        <v>0.88828414070503658</v>
      </c>
      <c r="BA55" s="20">
        <v>0.88867905774677913</v>
      </c>
      <c r="BB55" s="20">
        <v>0.88881069049635719</v>
      </c>
      <c r="DN55" s="12"/>
      <c r="DO55" s="12"/>
      <c r="DP55" s="12"/>
      <c r="DQ55" s="12"/>
      <c r="DR55" s="12"/>
      <c r="DS55" s="12"/>
      <c r="DT55" s="12"/>
      <c r="DU55" s="12"/>
      <c r="DV55" s="12"/>
      <c r="DW55" s="12"/>
      <c r="DX55" s="12"/>
      <c r="DY55" s="12"/>
      <c r="DZ55" s="12"/>
      <c r="EA55" s="12"/>
      <c r="EB55" s="12"/>
      <c r="EC55" s="12"/>
      <c r="ED55" s="12"/>
      <c r="EE55" s="12"/>
      <c r="EF55" s="12"/>
      <c r="EG55" s="12"/>
      <c r="EH55" s="12"/>
      <c r="EI55" s="12"/>
    </row>
    <row r="56" spans="1:139" ht="15" customHeight="1">
      <c r="A56" s="2" t="s">
        <v>141</v>
      </c>
      <c r="B56" s="2"/>
      <c r="C56" s="2"/>
      <c r="H56" s="23">
        <v>1.8750000000000003E-2</v>
      </c>
      <c r="I56" s="23">
        <v>4.8750000000000009E-2</v>
      </c>
      <c r="J56" s="19">
        <v>7377075332945128</v>
      </c>
      <c r="M56" s="133">
        <v>10</v>
      </c>
      <c r="N56" s="20">
        <v>0.68746107032564729</v>
      </c>
      <c r="O56" s="20">
        <v>0.68867757260435902</v>
      </c>
      <c r="P56" s="20">
        <v>0.69217253046421101</v>
      </c>
      <c r="Q56" s="20">
        <v>0.69754440566945275</v>
      </c>
      <c r="R56" s="20">
        <v>0.70428488500575359</v>
      </c>
      <c r="S56" s="20">
        <v>0.71190924813557954</v>
      </c>
      <c r="T56" s="20">
        <v>0.72002653172320874</v>
      </c>
      <c r="U56" s="20">
        <v>0.72835339083646855</v>
      </c>
      <c r="V56" s="20">
        <v>0.7366981845366205</v>
      </c>
      <c r="W56" s="20">
        <v>0.74493717725301645</v>
      </c>
      <c r="X56" s="20">
        <v>0.75299340686686012</v>
      </c>
      <c r="Y56" s="20">
        <v>0.76082100239045325</v>
      </c>
      <c r="Z56" s="20">
        <v>0.76839441110040307</v>
      </c>
      <c r="AA56" s="20">
        <v>0.77570117696303886</v>
      </c>
      <c r="AB56" s="20">
        <v>0.78273706947665711</v>
      </c>
      <c r="AC56" s="20">
        <v>0.78950272558530854</v>
      </c>
      <c r="AD56" s="20">
        <v>0.79600128955833782</v>
      </c>
      <c r="AE56" s="20">
        <v>0.80223674820842739</v>
      </c>
      <c r="AF56" s="20">
        <v>0.80821278982455347</v>
      </c>
      <c r="AG56" s="20">
        <v>0.81393208105993986</v>
      </c>
      <c r="AH56" s="20">
        <v>0.8193958893551827</v>
      </c>
      <c r="AI56" s="20">
        <v>0.8246039892824838</v>
      </c>
      <c r="AJ56" s="20">
        <v>0.82955479561872003</v>
      </c>
      <c r="AK56" s="20">
        <v>0.83424566557884461</v>
      </c>
      <c r="AL56" s="20">
        <v>0.8386733148236859</v>
      </c>
      <c r="AM56" s="20">
        <v>0.84283429009412414</v>
      </c>
      <c r="AN56" s="20">
        <v>0.84672543817444834</v>
      </c>
      <c r="AO56" s="20">
        <v>0.85034430222500368</v>
      </c>
      <c r="AP56" s="20">
        <v>0.85368938368736025</v>
      </c>
      <c r="AQ56" s="20">
        <v>0.85676022532269946</v>
      </c>
      <c r="AR56" s="20">
        <v>0.85955732016841779</v>
      </c>
      <c r="AS56" s="20">
        <v>0.86208188436181676</v>
      </c>
      <c r="AT56" s="20">
        <v>0.86433556636714182</v>
      </c>
      <c r="AU56" s="20">
        <v>0.86632015585569377</v>
      </c>
      <c r="AV56" s="20">
        <v>0.86803734399879839</v>
      </c>
      <c r="AW56" s="20">
        <v>0.86948855962738103</v>
      </c>
      <c r="AX56" s="20">
        <v>0.87067488964240003</v>
      </c>
      <c r="AY56" s="20">
        <v>0.87159707513089557</v>
      </c>
      <c r="AZ56" s="20">
        <v>0.87225556372716939</v>
      </c>
      <c r="BA56" s="20">
        <v>0.87265058975902987</v>
      </c>
      <c r="BB56" s="20">
        <v>0.87278225594939041</v>
      </c>
      <c r="DN56" s="12"/>
      <c r="DO56" s="12"/>
      <c r="DP56" s="12"/>
      <c r="DQ56" s="12"/>
      <c r="DR56" s="12"/>
      <c r="DS56" s="12"/>
      <c r="DT56" s="12"/>
      <c r="DU56" s="12"/>
      <c r="DV56" s="12"/>
      <c r="DW56" s="12"/>
      <c r="DX56" s="12"/>
      <c r="DY56" s="12"/>
      <c r="DZ56" s="12"/>
      <c r="EA56" s="12"/>
      <c r="EB56" s="12"/>
      <c r="EC56" s="12"/>
      <c r="ED56" s="12"/>
      <c r="EE56" s="12"/>
      <c r="EF56" s="12"/>
      <c r="EG56" s="12"/>
      <c r="EH56" s="12"/>
      <c r="EI56" s="12"/>
    </row>
    <row r="57" spans="1:139" ht="15" customHeight="1">
      <c r="A57" s="1" t="s">
        <v>137</v>
      </c>
      <c r="B57" s="1" t="s">
        <v>18</v>
      </c>
      <c r="C57" s="1" t="s">
        <v>19</v>
      </c>
      <c r="E57" s="4"/>
      <c r="F57" s="4"/>
      <c r="H57" s="23">
        <v>1.8750000000000003E-2</v>
      </c>
      <c r="I57" s="23">
        <v>5.2500000000000005E-2</v>
      </c>
      <c r="J57" s="19">
        <v>7374205939016936</v>
      </c>
      <c r="M57" s="133">
        <v>11</v>
      </c>
      <c r="N57" s="20">
        <v>0.66881510103339492</v>
      </c>
      <c r="O57" s="20">
        <v>0.6701107701029797</v>
      </c>
      <c r="P57" s="20">
        <v>0.67382210529796738</v>
      </c>
      <c r="Q57" s="20">
        <v>0.67949645032519446</v>
      </c>
      <c r="R57" s="20">
        <v>0.68656959485414204</v>
      </c>
      <c r="S57" s="20">
        <v>0.69451477584738663</v>
      </c>
      <c r="T57" s="20">
        <v>0.70291772644995698</v>
      </c>
      <c r="U57" s="20">
        <v>0.7114866581440763</v>
      </c>
      <c r="V57" s="20">
        <v>0.72003039540791369</v>
      </c>
      <c r="W57" s="20">
        <v>0.72842988622738392</v>
      </c>
      <c r="X57" s="20">
        <v>0.73661421920046932</v>
      </c>
      <c r="Y57" s="20">
        <v>0.74454348065223985</v>
      </c>
      <c r="Z57" s="20">
        <v>0.75219735746040262</v>
      </c>
      <c r="AA57" s="20">
        <v>0.75956773549407208</v>
      </c>
      <c r="AB57" s="20">
        <v>0.76665386007857395</v>
      </c>
      <c r="AC57" s="20">
        <v>0.77345909714828986</v>
      </c>
      <c r="AD57" s="20">
        <v>0.77998871604698305</v>
      </c>
      <c r="AE57" s="20">
        <v>0.7862483619337719</v>
      </c>
      <c r="AF57" s="20">
        <v>0.79224303266511853</v>
      </c>
      <c r="AG57" s="20">
        <v>0.79797645055209887</v>
      </c>
      <c r="AH57" s="20">
        <v>0.80345075639558738</v>
      </c>
      <c r="AI57" s="20">
        <v>0.80866646672693032</v>
      </c>
      <c r="AJ57" s="20">
        <v>0.81362264002768059</v>
      </c>
      <c r="AK57" s="20">
        <v>0.81831719795951263</v>
      </c>
      <c r="AL57" s="20">
        <v>0.82274734876241995</v>
      </c>
      <c r="AM57" s="20">
        <v>0.82691005837267195</v>
      </c>
      <c r="AN57" s="20">
        <v>0.83080251158174589</v>
      </c>
      <c r="AO57" s="20">
        <v>0.83442249997375584</v>
      </c>
      <c r="AP57" s="20">
        <v>0.83776868007236738</v>
      </c>
      <c r="AQ57" s="20">
        <v>0.84084066374269173</v>
      </c>
      <c r="AR57" s="20">
        <v>0.84363894442396115</v>
      </c>
      <c r="AS57" s="20">
        <v>0.84616469523399407</v>
      </c>
      <c r="AT57" s="20">
        <v>0.84841950316906234</v>
      </c>
      <c r="AU57" s="20">
        <v>0.85040509915217166</v>
      </c>
      <c r="AV57" s="20">
        <v>0.85212313191899214</v>
      </c>
      <c r="AW57" s="20">
        <v>0.85357501084560172</v>
      </c>
      <c r="AX57" s="20">
        <v>0.8547618263163046</v>
      </c>
      <c r="AY57" s="20">
        <v>0.8556843407183079</v>
      </c>
      <c r="AZ57" s="20">
        <v>0.85634303217278007</v>
      </c>
      <c r="BA57" s="20">
        <v>0.85673816539712588</v>
      </c>
      <c r="BB57" s="20">
        <v>0.85686986471351023</v>
      </c>
      <c r="DN57" s="12"/>
      <c r="DO57" s="12"/>
      <c r="DP57" s="12"/>
      <c r="DQ57" s="12"/>
      <c r="DR57" s="12"/>
      <c r="DS57" s="12"/>
      <c r="DT57" s="12"/>
      <c r="DU57" s="12"/>
      <c r="DV57" s="12"/>
      <c r="DW57" s="12"/>
      <c r="DX57" s="12"/>
      <c r="DY57" s="12"/>
      <c r="DZ57" s="12"/>
      <c r="EA57" s="12"/>
      <c r="EB57" s="12"/>
      <c r="EC57" s="12"/>
      <c r="ED57" s="12"/>
      <c r="EE57" s="12"/>
      <c r="EF57" s="12"/>
      <c r="EG57" s="12"/>
      <c r="EH57" s="12"/>
      <c r="EI57" s="12"/>
    </row>
    <row r="58" spans="1:139" ht="15" customHeight="1">
      <c r="A58" s="166">
        <v>1</v>
      </c>
      <c r="B58" s="20">
        <v>0.1</v>
      </c>
      <c r="C58" s="20">
        <v>0</v>
      </c>
      <c r="E58" s="4"/>
      <c r="F58" s="4"/>
      <c r="H58" s="23">
        <v>1.8750000000000003E-2</v>
      </c>
      <c r="I58" s="23">
        <v>5.6250000000000008E-2</v>
      </c>
      <c r="J58" s="19">
        <v>7371344248533328</v>
      </c>
      <c r="M58" s="133">
        <v>12</v>
      </c>
      <c r="N58" s="20">
        <v>0.65025793293224698</v>
      </c>
      <c r="O58" s="20">
        <v>0.6516400999656673</v>
      </c>
      <c r="P58" s="20">
        <v>0.65558658761305144</v>
      </c>
      <c r="Q58" s="20">
        <v>0.66158656646129754</v>
      </c>
      <c r="R58" s="20">
        <v>0.66901375934783691</v>
      </c>
      <c r="S58" s="20">
        <v>0.67729640972791139</v>
      </c>
      <c r="T58" s="20">
        <v>0.68599667501567008</v>
      </c>
      <c r="U58" s="20">
        <v>0.6948152843452291</v>
      </c>
      <c r="V58" s="20">
        <v>0.7035627016594681</v>
      </c>
      <c r="W58" s="20">
        <v>0.71212552305672128</v>
      </c>
      <c r="X58" s="20">
        <v>0.72043956869901515</v>
      </c>
      <c r="Y58" s="20">
        <v>0.72847133188067936</v>
      </c>
      <c r="Z58" s="20">
        <v>0.7362060304182042</v>
      </c>
      <c r="AA58" s="20">
        <v>0.74364008262563741</v>
      </c>
      <c r="AB58" s="20">
        <v>0.75077633751585682</v>
      </c>
      <c r="AC58" s="20">
        <v>0.75762097777667059</v>
      </c>
      <c r="AD58" s="20">
        <v>0.76418145850362384</v>
      </c>
      <c r="AE58" s="20">
        <v>0.77046512388787924</v>
      </c>
      <c r="AF58" s="20">
        <v>0.77647830636560344</v>
      </c>
      <c r="AG58" s="20">
        <v>0.78222579602369935</v>
      </c>
      <c r="AH58" s="20">
        <v>0.78771060862692444</v>
      </c>
      <c r="AI58" s="20">
        <v>0.79293399587845725</v>
      </c>
      <c r="AJ58" s="20">
        <v>0.79789564698341109</v>
      </c>
      <c r="AK58" s="20">
        <v>0.80259403095364246</v>
      </c>
      <c r="AL58" s="20">
        <v>0.80702682959745453</v>
      </c>
      <c r="AM58" s="20">
        <v>0.8111914093794006</v>
      </c>
      <c r="AN58" s="20">
        <v>0.81508527740426751</v>
      </c>
      <c r="AO58" s="20">
        <v>0.81870646320044882</v>
      </c>
      <c r="AP58" s="20">
        <v>0.82205377478888997</v>
      </c>
      <c r="AQ58" s="20">
        <v>0.82512689620165036</v>
      </c>
      <c r="AR58" s="20">
        <v>0.8279263296089403</v>
      </c>
      <c r="AS58" s="20">
        <v>0.83045321593013199</v>
      </c>
      <c r="AT58" s="20">
        <v>0.83270909167862428</v>
      </c>
      <c r="AU58" s="20">
        <v>0.83469563814109404</v>
      </c>
      <c r="AV58" s="20">
        <v>0.83641446794796814</v>
      </c>
      <c r="AW58" s="20">
        <v>0.83786697417666889</v>
      </c>
      <c r="AX58" s="20">
        <v>0.83905425100950193</v>
      </c>
      <c r="AY58" s="20">
        <v>0.8399770802908777</v>
      </c>
      <c r="AZ58" s="20">
        <v>0.84063596772982507</v>
      </c>
      <c r="BA58" s="20">
        <v>0.84103120541883358</v>
      </c>
      <c r="BB58" s="20">
        <v>0.84116293720601143</v>
      </c>
      <c r="DN58" s="12"/>
      <c r="DO58" s="12"/>
      <c r="DP58" s="12"/>
      <c r="DQ58" s="12"/>
      <c r="DR58" s="12"/>
      <c r="DS58" s="12"/>
      <c r="DT58" s="12"/>
      <c r="DU58" s="12"/>
      <c r="DV58" s="12"/>
      <c r="DW58" s="12"/>
      <c r="DX58" s="12"/>
      <c r="DY58" s="12"/>
      <c r="DZ58" s="12"/>
      <c r="EA58" s="12"/>
      <c r="EB58" s="12"/>
      <c r="EC58" s="12"/>
      <c r="ED58" s="12"/>
      <c r="EE58" s="12"/>
      <c r="EF58" s="12"/>
      <c r="EG58" s="12"/>
      <c r="EH58" s="12"/>
      <c r="EI58" s="12"/>
    </row>
    <row r="59" spans="1:139" ht="15" customHeight="1">
      <c r="A59" s="166">
        <v>2</v>
      </c>
      <c r="B59" s="20">
        <v>0.1</v>
      </c>
      <c r="C59" s="20">
        <v>0</v>
      </c>
      <c r="E59" s="4"/>
      <c r="F59" s="4"/>
      <c r="H59" s="23">
        <v>1.8750000000000003E-2</v>
      </c>
      <c r="I59" s="23">
        <v>6.0000000000000012E-2</v>
      </c>
      <c r="J59" s="19">
        <v>7368482544773888</v>
      </c>
      <c r="M59" s="133">
        <v>13</v>
      </c>
      <c r="N59" s="20">
        <v>0.63170846781176371</v>
      </c>
      <c r="O59" s="20">
        <v>0.63318549955777437</v>
      </c>
      <c r="P59" s="20">
        <v>0.63738836201569093</v>
      </c>
      <c r="Q59" s="20">
        <v>0.64373970056603902</v>
      </c>
      <c r="R59" s="20">
        <v>0.65154413879037221</v>
      </c>
      <c r="S59" s="20">
        <v>0.66018183381663187</v>
      </c>
      <c r="T59" s="20">
        <v>0.66919133789890228</v>
      </c>
      <c r="U59" s="20">
        <v>0.67826714894361917</v>
      </c>
      <c r="V59" s="20">
        <v>0.68722274903578173</v>
      </c>
      <c r="W59" s="20">
        <v>0.69595146130509089</v>
      </c>
      <c r="X59" s="20">
        <v>0.70439657235354036</v>
      </c>
      <c r="Y59" s="20">
        <v>0.71253145276279461</v>
      </c>
      <c r="Z59" s="20">
        <v>0.72034714677381151</v>
      </c>
      <c r="AA59" s="20">
        <v>0.72784479254530754</v>
      </c>
      <c r="AB59" s="20">
        <v>0.7350309647844433</v>
      </c>
      <c r="AC59" s="20">
        <v>0.74191474440478167</v>
      </c>
      <c r="AD59" s="20">
        <v>0.74850582712593294</v>
      </c>
      <c r="AE59" s="20">
        <v>0.75481329197936242</v>
      </c>
      <c r="AF59" s="20">
        <v>0.76084482708856571</v>
      </c>
      <c r="AG59" s="20">
        <v>0.76660629949452042</v>
      </c>
      <c r="AH59" s="20">
        <v>0.77210159942373857</v>
      </c>
      <c r="AI59" s="20">
        <v>0.7773327055614635</v>
      </c>
      <c r="AJ59" s="20">
        <v>0.78229992402545878</v>
      </c>
      <c r="AK59" s="20">
        <v>0.78700225370074706</v>
      </c>
      <c r="AL59" s="20">
        <v>0.79143783093438991</v>
      </c>
      <c r="AM59" s="20">
        <v>0.79560440427974921</v>
      </c>
      <c r="AN59" s="20">
        <v>0.79949978771781816</v>
      </c>
      <c r="AO59" s="20">
        <v>0.80312223834791285</v>
      </c>
      <c r="AP59" s="20">
        <v>0.80647071181823837</v>
      </c>
      <c r="AQ59" s="20">
        <v>0.80954496674670584</v>
      </c>
      <c r="AR59" s="20">
        <v>0.81234552143791261</v>
      </c>
      <c r="AS59" s="20">
        <v>0.81487349452463209</v>
      </c>
      <c r="AT59" s="20">
        <v>0.81713038223761758</v>
      </c>
      <c r="AU59" s="20">
        <v>0.81911782484658313</v>
      </c>
      <c r="AV59" s="20">
        <v>0.82083740494963187</v>
      </c>
      <c r="AW59" s="20">
        <v>0.82229050248269508</v>
      </c>
      <c r="AX59" s="20">
        <v>0.82347821591222703</v>
      </c>
      <c r="AY59" s="20">
        <v>0.82440134501583584</v>
      </c>
      <c r="AZ59" s="20">
        <v>0.82506042051968642</v>
      </c>
      <c r="BA59" s="20">
        <v>0.82545575919595404</v>
      </c>
      <c r="BB59" s="20">
        <v>0.82558752252660383</v>
      </c>
      <c r="DN59" s="12"/>
      <c r="DO59" s="12"/>
      <c r="DP59" s="12"/>
      <c r="DQ59" s="12"/>
      <c r="DR59" s="12"/>
      <c r="DS59" s="12"/>
      <c r="DT59" s="12"/>
      <c r="DU59" s="12"/>
      <c r="DV59" s="12"/>
      <c r="DW59" s="12"/>
      <c r="DX59" s="12"/>
      <c r="DY59" s="12"/>
      <c r="DZ59" s="12"/>
      <c r="EA59" s="12"/>
      <c r="EB59" s="12"/>
      <c r="EC59" s="12"/>
      <c r="ED59" s="12"/>
      <c r="EE59" s="12"/>
      <c r="EF59" s="12"/>
      <c r="EG59" s="12"/>
      <c r="EH59" s="12"/>
      <c r="EI59" s="12"/>
    </row>
    <row r="60" spans="1:139" ht="15" customHeight="1">
      <c r="A60" s="166">
        <v>3</v>
      </c>
      <c r="B60" s="20">
        <v>0.1</v>
      </c>
      <c r="C60" s="20">
        <v>0</v>
      </c>
      <c r="E60" s="4"/>
      <c r="F60" s="4"/>
      <c r="H60" s="23">
        <v>1.8750000000000003E-2</v>
      </c>
      <c r="I60" s="23">
        <v>6.3750000000000015E-2</v>
      </c>
      <c r="J60" s="19">
        <v>7365624975266776</v>
      </c>
      <c r="M60" s="133">
        <v>14</v>
      </c>
      <c r="N60" s="20">
        <v>0.61322103122020588</v>
      </c>
      <c r="O60" s="20">
        <v>0.61480249860014435</v>
      </c>
      <c r="P60" s="20">
        <v>0.61928576282909109</v>
      </c>
      <c r="Q60" s="20">
        <v>0.62601703863340674</v>
      </c>
      <c r="R60" s="20">
        <v>0.63422385148308058</v>
      </c>
      <c r="S60" s="20">
        <v>0.64323508356076864</v>
      </c>
      <c r="T60" s="20">
        <v>0.65256597189167198</v>
      </c>
      <c r="U60" s="20">
        <v>0.66190637006778674</v>
      </c>
      <c r="V60" s="20">
        <v>0.67107437738135711</v>
      </c>
      <c r="W60" s="20">
        <v>0.67997123817392047</v>
      </c>
      <c r="X60" s="20">
        <v>0.68854849089745629</v>
      </c>
      <c r="Y60" s="20">
        <v>0.6967868707406637</v>
      </c>
      <c r="Z60" s="20">
        <v>0.70468354535617139</v>
      </c>
      <c r="AA60" s="20">
        <v>0.71224455531190645</v>
      </c>
      <c r="AB60" s="20">
        <v>0.71948031621720521</v>
      </c>
      <c r="AC60" s="20">
        <v>0.72640288183693436</v>
      </c>
      <c r="AD60" s="20">
        <v>0.73302423731075061</v>
      </c>
      <c r="AE60" s="20">
        <v>0.7393552272545767</v>
      </c>
      <c r="AF60" s="20">
        <v>0.74540491259098918</v>
      </c>
      <c r="AG60" s="20">
        <v>0.75118024345859546</v>
      </c>
      <c r="AH60" s="20">
        <v>0.75668598185569247</v>
      </c>
      <c r="AI60" s="20">
        <v>0.76192482378698634</v>
      </c>
      <c r="AJ60" s="20">
        <v>0.76689767755587668</v>
      </c>
      <c r="AK60" s="20">
        <v>0.771604053998726</v>
      </c>
      <c r="AL60" s="20">
        <v>0.77604252485952407</v>
      </c>
      <c r="AM60" s="20">
        <v>0.78021120247470677</v>
      </c>
      <c r="AN60" s="20">
        <v>0.78410819244292995</v>
      </c>
      <c r="AO60" s="20">
        <v>0.78773196911086241</v>
      </c>
      <c r="AP60" s="20">
        <v>0.79108163159920708</v>
      </c>
      <c r="AQ60" s="20">
        <v>0.79415701495274404</v>
      </c>
      <c r="AR60" s="20">
        <v>0.79695866018074246</v>
      </c>
      <c r="AS60" s="20">
        <v>0.79948767272024035</v>
      </c>
      <c r="AT60" s="20">
        <v>0.80174551801609095</v>
      </c>
      <c r="AU60" s="20">
        <v>0.80373380347157708</v>
      </c>
      <c r="AV60" s="20">
        <v>0.80545408749326075</v>
      </c>
      <c r="AW60" s="20">
        <v>0.80690774000826215</v>
      </c>
      <c r="AX60" s="20">
        <v>0.80809586441939263</v>
      </c>
      <c r="AY60" s="20">
        <v>0.80901927717453126</v>
      </c>
      <c r="AZ60" s="20">
        <v>0.80967853174938476</v>
      </c>
      <c r="BA60" s="20">
        <v>0.81007396718116276</v>
      </c>
      <c r="BB60" s="20">
        <v>0.81020576085551399</v>
      </c>
      <c r="DN60" s="12"/>
      <c r="DO60" s="12"/>
      <c r="DP60" s="12"/>
      <c r="DQ60" s="12"/>
      <c r="DR60" s="12"/>
      <c r="DS60" s="12"/>
      <c r="DT60" s="12"/>
      <c r="DU60" s="12"/>
      <c r="DV60" s="12"/>
      <c r="DW60" s="12"/>
      <c r="DX60" s="12"/>
      <c r="DY60" s="12"/>
      <c r="DZ60" s="12"/>
      <c r="EA60" s="12"/>
      <c r="EB60" s="12"/>
      <c r="EC60" s="12"/>
      <c r="ED60" s="12"/>
      <c r="EE60" s="12"/>
      <c r="EF60" s="12"/>
      <c r="EG60" s="12"/>
      <c r="EH60" s="12"/>
      <c r="EI60" s="12"/>
    </row>
    <row r="61" spans="1:139" ht="15" customHeight="1">
      <c r="A61" s="166">
        <v>4</v>
      </c>
      <c r="B61" s="20">
        <v>0.1</v>
      </c>
      <c r="C61" s="20">
        <v>0</v>
      </c>
      <c r="E61" s="4"/>
      <c r="F61" s="4"/>
      <c r="H61" s="23">
        <v>1.8750000000000003E-2</v>
      </c>
      <c r="I61" s="23">
        <v>6.7500000000000004E-2</v>
      </c>
      <c r="J61" s="19">
        <v>7362764824751544</v>
      </c>
      <c r="M61" s="133">
        <v>15</v>
      </c>
      <c r="N61" s="20">
        <v>0.59473363717612149</v>
      </c>
      <c r="O61" s="20">
        <v>0.59643052158047849</v>
      </c>
      <c r="P61" s="20">
        <v>0.60122144507766251</v>
      </c>
      <c r="Q61" s="20">
        <v>0.60836441768638971</v>
      </c>
      <c r="R61" s="20">
        <v>0.61700078865315511</v>
      </c>
      <c r="S61" s="20">
        <v>0.62640494846806893</v>
      </c>
      <c r="T61" s="20">
        <v>0.63606952113644954</v>
      </c>
      <c r="U61" s="20">
        <v>0.64568168914552748</v>
      </c>
      <c r="V61" s="20">
        <v>0.65506600333763576</v>
      </c>
      <c r="W61" s="20">
        <v>0.66413293784080019</v>
      </c>
      <c r="X61" s="20">
        <v>0.67284311410647279</v>
      </c>
      <c r="Y61" s="20">
        <v>0.68118513184304352</v>
      </c>
      <c r="Z61" s="20">
        <v>0.68916257758594945</v>
      </c>
      <c r="AA61" s="20">
        <v>0.69678657019164292</v>
      </c>
      <c r="AB61" s="20">
        <v>0.70407147352941468</v>
      </c>
      <c r="AC61" s="20">
        <v>0.71103238141964675</v>
      </c>
      <c r="AD61" s="20">
        <v>0.71768361083731214</v>
      </c>
      <c r="AE61" s="20">
        <v>0.72403779749800845</v>
      </c>
      <c r="AF61" s="20">
        <v>0.73010538812899251</v>
      </c>
      <c r="AG61" s="20">
        <v>0.73589441899038688</v>
      </c>
      <c r="AH61" s="20">
        <v>0.74141051890895004</v>
      </c>
      <c r="AI61" s="20">
        <v>0.74665708997972913</v>
      </c>
      <c r="AJ61" s="20">
        <v>0.75163562698773922</v>
      </c>
      <c r="AK61" s="20">
        <v>0.75634613425226727</v>
      </c>
      <c r="AL61" s="20">
        <v>0.76078759959102438</v>
      </c>
      <c r="AM61" s="20">
        <v>0.76495848084851925</v>
      </c>
      <c r="AN61" s="20">
        <v>0.76885716009024574</v>
      </c>
      <c r="AO61" s="20">
        <v>0.77248231857405558</v>
      </c>
      <c r="AP61" s="20">
        <v>0.7758331944718283</v>
      </c>
      <c r="AQ61" s="20">
        <v>0.77890970055210063</v>
      </c>
      <c r="AR61" s="20">
        <v>0.78171240637825201</v>
      </c>
      <c r="AS61" s="20">
        <v>0.78424241253635041</v>
      </c>
      <c r="AT61" s="20">
        <v>0.78650116256010705</v>
      </c>
      <c r="AU61" s="20">
        <v>0.7884902387038748</v>
      </c>
      <c r="AV61" s="20">
        <v>0.790211180803715</v>
      </c>
      <c r="AW61" s="20">
        <v>0.79166535188843823</v>
      </c>
      <c r="AX61" s="20">
        <v>0.79285386107496636</v>
      </c>
      <c r="AY61" s="20">
        <v>0.79377754045583282</v>
      </c>
      <c r="AZ61" s="20">
        <v>0.79443696425361265</v>
      </c>
      <c r="BA61" s="20">
        <v>0.79483249159223579</v>
      </c>
      <c r="BB61" s="20">
        <v>0.79496431418908542</v>
      </c>
      <c r="DN61" s="12"/>
      <c r="DO61" s="12"/>
      <c r="DP61" s="12"/>
      <c r="DQ61" s="12"/>
      <c r="DR61" s="12"/>
      <c r="DS61" s="12"/>
      <c r="DT61" s="12"/>
      <c r="DU61" s="12"/>
      <c r="DV61" s="12"/>
      <c r="DW61" s="12"/>
      <c r="DX61" s="12"/>
      <c r="DY61" s="12"/>
      <c r="DZ61" s="12"/>
      <c r="EA61" s="12"/>
      <c r="EB61" s="12"/>
      <c r="EC61" s="12"/>
      <c r="ED61" s="12"/>
      <c r="EE61" s="12"/>
      <c r="EF61" s="12"/>
      <c r="EG61" s="12"/>
      <c r="EH61" s="12"/>
      <c r="EI61" s="12"/>
    </row>
    <row r="62" spans="1:139" ht="15" customHeight="1">
      <c r="A62" s="166">
        <v>5</v>
      </c>
      <c r="B62" s="20">
        <v>0.1</v>
      </c>
      <c r="C62" s="20">
        <v>0</v>
      </c>
      <c r="E62" s="4"/>
      <c r="F62" s="4"/>
      <c r="H62" s="23">
        <v>1.8750000000000003E-2</v>
      </c>
      <c r="I62" s="23">
        <v>7.1250000000000008E-2</v>
      </c>
      <c r="J62" s="19">
        <v>7359904853504832</v>
      </c>
      <c r="M62" s="133">
        <v>16</v>
      </c>
      <c r="N62" s="20">
        <v>0.57628292428382122</v>
      </c>
      <c r="O62" s="20">
        <v>0.57810786769678191</v>
      </c>
      <c r="P62" s="20">
        <v>0.58323744535210942</v>
      </c>
      <c r="Q62" s="20">
        <v>0.59082742920111564</v>
      </c>
      <c r="R62" s="20">
        <v>0.59992271498641314</v>
      </c>
      <c r="S62" s="20">
        <v>0.60974005286089772</v>
      </c>
      <c r="T62" s="20">
        <v>0.61975068023742896</v>
      </c>
      <c r="U62" s="20">
        <v>0.62964152273789431</v>
      </c>
      <c r="V62" s="20">
        <v>0.63924566566961571</v>
      </c>
      <c r="W62" s="20">
        <v>0.64848423288908574</v>
      </c>
      <c r="X62" s="20">
        <v>0.65732779957746834</v>
      </c>
      <c r="Y62" s="20">
        <v>0.66577333736096633</v>
      </c>
      <c r="Z62" s="20">
        <v>0.67383114227271645</v>
      </c>
      <c r="AA62" s="20">
        <v>0.68151757864117168</v>
      </c>
      <c r="AB62" s="20">
        <v>0.6888510570188211</v>
      </c>
      <c r="AC62" s="20">
        <v>0.69584977046114571</v>
      </c>
      <c r="AD62" s="20">
        <v>0.70253040352031049</v>
      </c>
      <c r="AE62" s="20">
        <v>0.70890740312125511</v>
      </c>
      <c r="AF62" s="20">
        <v>0.71499261060429176</v>
      </c>
      <c r="AG62" s="20">
        <v>0.72079514817321511</v>
      </c>
      <c r="AH62" s="20">
        <v>0.72632150421921138</v>
      </c>
      <c r="AI62" s="20">
        <v>0.73157577406641239</v>
      </c>
      <c r="AJ62" s="20">
        <v>0.73656002222968409</v>
      </c>
      <c r="AK62" s="20">
        <v>0.74127472742513711</v>
      </c>
      <c r="AL62" s="20">
        <v>0.74571927396780802</v>
      </c>
      <c r="AM62" s="20">
        <v>0.74989244688651269</v>
      </c>
      <c r="AN62" s="20">
        <v>0.75379288959600255</v>
      </c>
      <c r="AO62" s="20">
        <v>0.75741947987520497</v>
      </c>
      <c r="AP62" s="20">
        <v>0.76077159026667263</v>
      </c>
      <c r="AQ62" s="20">
        <v>0.7638492120724657</v>
      </c>
      <c r="AR62" s="20">
        <v>0.76665294860981448</v>
      </c>
      <c r="AS62" s="20">
        <v>0.7691839032972555</v>
      </c>
      <c r="AT62" s="20">
        <v>0.77144350607461698</v>
      </c>
      <c r="AU62" s="20">
        <v>0.77343332136636844</v>
      </c>
      <c r="AV62" s="20">
        <v>0.77515487586252141</v>
      </c>
      <c r="AW62" s="20">
        <v>0.7766095287622804</v>
      </c>
      <c r="AX62" s="20">
        <v>0.77779839579342014</v>
      </c>
      <c r="AY62" s="20">
        <v>0.77872232385851869</v>
      </c>
      <c r="AZ62" s="20">
        <v>0.77938190616391023</v>
      </c>
      <c r="BA62" s="20">
        <v>0.77977751994968703</v>
      </c>
      <c r="BB62" s="20">
        <v>0.77990936982844883</v>
      </c>
      <c r="DN62" s="12"/>
      <c r="DO62" s="12"/>
      <c r="DP62" s="12"/>
      <c r="DQ62" s="12"/>
      <c r="DR62" s="12"/>
      <c r="DS62" s="12"/>
      <c r="DT62" s="12"/>
      <c r="DU62" s="12"/>
      <c r="DV62" s="12"/>
      <c r="DW62" s="12"/>
      <c r="DX62" s="12"/>
      <c r="DY62" s="12"/>
      <c r="DZ62" s="12"/>
      <c r="EA62" s="12"/>
      <c r="EB62" s="12"/>
      <c r="EC62" s="12"/>
      <c r="ED62" s="12"/>
      <c r="EE62" s="12"/>
      <c r="EF62" s="12"/>
      <c r="EG62" s="12"/>
      <c r="EH62" s="12"/>
      <c r="EI62" s="12"/>
    </row>
    <row r="63" spans="1:139" ht="15" customHeight="1">
      <c r="A63" s="166">
        <v>6</v>
      </c>
      <c r="B63" s="20">
        <v>0.1</v>
      </c>
      <c r="C63" s="20">
        <v>0</v>
      </c>
      <c r="E63" s="4"/>
      <c r="F63" s="4"/>
      <c r="H63" s="23">
        <v>1.8750000000000003E-2</v>
      </c>
      <c r="I63" s="23">
        <v>7.5000000000000011E-2</v>
      </c>
      <c r="J63" s="19">
        <v>7357038863379856</v>
      </c>
      <c r="M63" s="133">
        <v>17</v>
      </c>
      <c r="N63" s="20">
        <v>0.55781751554437198</v>
      </c>
      <c r="O63" s="20">
        <v>0.55978512881141373</v>
      </c>
      <c r="P63" s="20">
        <v>0.56528869955322203</v>
      </c>
      <c r="Q63" s="20">
        <v>0.57336498567023919</v>
      </c>
      <c r="R63" s="20">
        <v>0.58295083015444416</v>
      </c>
      <c r="S63" s="20">
        <v>0.59320239601363256</v>
      </c>
      <c r="T63" s="20">
        <v>0.60357141815940007</v>
      </c>
      <c r="U63" s="20">
        <v>0.61374747850389888</v>
      </c>
      <c r="V63" s="20">
        <v>0.62357453885226888</v>
      </c>
      <c r="W63" s="20">
        <v>0.63298589833057373</v>
      </c>
      <c r="X63" s="20">
        <v>0.64196298842735022</v>
      </c>
      <c r="Y63" s="20">
        <v>0.65051166166646934</v>
      </c>
      <c r="Z63" s="20">
        <v>0.65864920566505836</v>
      </c>
      <c r="AA63" s="20">
        <v>0.66639738656572489</v>
      </c>
      <c r="AB63" s="20">
        <v>0.67377874994836506</v>
      </c>
      <c r="AC63" s="20">
        <v>0.68081463864523439</v>
      </c>
      <c r="AD63" s="20">
        <v>0.6875241335578004</v>
      </c>
      <c r="AE63" s="20">
        <v>0.69392350734370123</v>
      </c>
      <c r="AF63" s="20">
        <v>0.70002600049471797</v>
      </c>
      <c r="AG63" s="20">
        <v>0.70584181768782928</v>
      </c>
      <c r="AH63" s="20">
        <v>0.71137829724898227</v>
      </c>
      <c r="AI63" s="20">
        <v>0.71664021315415238</v>
      </c>
      <c r="AJ63" s="20">
        <v>0.72163018179420113</v>
      </c>
      <c r="AK63" s="20">
        <v>0.7263491365002156</v>
      </c>
      <c r="AL63" s="20">
        <v>0.73079683817834284</v>
      </c>
      <c r="AM63" s="20">
        <v>0.73497238058148673</v>
      </c>
      <c r="AN63" s="20">
        <v>0.73887465334352531</v>
      </c>
      <c r="AO63" s="20">
        <v>0.74250272026325448</v>
      </c>
      <c r="AP63" s="20">
        <v>0.74585608333434394</v>
      </c>
      <c r="AQ63" s="20">
        <v>0.7489348127408908</v>
      </c>
      <c r="AR63" s="20">
        <v>0.7517395502059494</v>
      </c>
      <c r="AS63" s="20">
        <v>0.75427140906707546</v>
      </c>
      <c r="AT63" s="20">
        <v>0.75653181349779119</v>
      </c>
      <c r="AU63" s="20">
        <v>0.75852231705614714</v>
      </c>
      <c r="AV63" s="20">
        <v>0.76024443852841006</v>
      </c>
      <c r="AW63" s="20">
        <v>0.76169953630473486</v>
      </c>
      <c r="AX63" s="20">
        <v>0.76288873371822163</v>
      </c>
      <c r="AY63" s="20">
        <v>0.76381289180741319</v>
      </c>
      <c r="AZ63" s="20">
        <v>0.7644726212092009</v>
      </c>
      <c r="BA63" s="20">
        <v>0.76486831547836531</v>
      </c>
      <c r="BB63" s="20">
        <v>0.76500019082327408</v>
      </c>
      <c r="DN63" s="12"/>
      <c r="DO63" s="12"/>
      <c r="DP63" s="12"/>
      <c r="DQ63" s="12"/>
      <c r="DR63" s="12"/>
      <c r="DS63" s="12"/>
      <c r="DT63" s="12"/>
      <c r="DU63" s="12"/>
      <c r="DV63" s="12"/>
      <c r="DW63" s="12"/>
      <c r="DX63" s="12"/>
      <c r="DY63" s="12"/>
      <c r="DZ63" s="12"/>
      <c r="EA63" s="12"/>
      <c r="EB63" s="12"/>
      <c r="EC63" s="12"/>
      <c r="ED63" s="12"/>
      <c r="EE63" s="12"/>
      <c r="EF63" s="12"/>
      <c r="EG63" s="12"/>
      <c r="EH63" s="12"/>
      <c r="EI63" s="12"/>
    </row>
    <row r="64" spans="1:139" ht="15" customHeight="1">
      <c r="A64" s="166">
        <v>7</v>
      </c>
      <c r="B64" s="20">
        <v>0.1</v>
      </c>
      <c r="C64" s="20">
        <v>0</v>
      </c>
      <c r="E64" s="4"/>
      <c r="F64" s="4"/>
      <c r="H64" s="23">
        <v>1.8750000000000003E-2</v>
      </c>
      <c r="I64" s="23">
        <v>7.8750000000000014E-2</v>
      </c>
      <c r="J64" s="19">
        <v>7354168450620344</v>
      </c>
      <c r="M64" s="133">
        <v>18</v>
      </c>
      <c r="N64" s="20">
        <v>0.53936161911324199</v>
      </c>
      <c r="O64" s="20">
        <v>0.54148886045977651</v>
      </c>
      <c r="P64" s="20">
        <v>0.54740683393986322</v>
      </c>
      <c r="Q64" s="20">
        <v>0.55601316292359138</v>
      </c>
      <c r="R64" s="20">
        <v>0.56612359751581642</v>
      </c>
      <c r="S64" s="20">
        <v>0.57683115127071083</v>
      </c>
      <c r="T64" s="20">
        <v>0.58757075588576557</v>
      </c>
      <c r="U64" s="20">
        <v>0.59803812130691469</v>
      </c>
      <c r="V64" s="20">
        <v>0.60809069361183843</v>
      </c>
      <c r="W64" s="20">
        <v>0.61767556935095247</v>
      </c>
      <c r="X64" s="20">
        <v>0.62678596136185971</v>
      </c>
      <c r="Y64" s="20">
        <v>0.63543710697186095</v>
      </c>
      <c r="Z64" s="20">
        <v>0.64365355500751009</v>
      </c>
      <c r="AA64" s="20">
        <v>0.65146261665696614</v>
      </c>
      <c r="AB64" s="20">
        <v>0.65889104965117218</v>
      </c>
      <c r="AC64" s="20">
        <v>0.66596338786024523</v>
      </c>
      <c r="AD64" s="20">
        <v>0.67270113007156251</v>
      </c>
      <c r="AE64" s="20">
        <v>0.67912238344321618</v>
      </c>
      <c r="AF64" s="20">
        <v>0.6852417878098217</v>
      </c>
      <c r="AG64" s="20">
        <v>0.69107062348725878</v>
      </c>
      <c r="AH64" s="20">
        <v>0.69661706669432499</v>
      </c>
      <c r="AI64" s="20">
        <v>0.70188655369682218</v>
      </c>
      <c r="AJ64" s="20">
        <v>0.70688223376068893</v>
      </c>
      <c r="AK64" s="20">
        <v>0.71160547427259269</v>
      </c>
      <c r="AL64" s="20">
        <v>0.71605639244719854</v>
      </c>
      <c r="AM64" s="20">
        <v>0.72023437208594077</v>
      </c>
      <c r="AN64" s="20">
        <v>0.72413853384157123</v>
      </c>
      <c r="AO64" s="20">
        <v>0.72776811688361853</v>
      </c>
      <c r="AP64" s="20">
        <v>0.73112274751316553</v>
      </c>
      <c r="AQ64" s="20">
        <v>0.73420257472863115</v>
      </c>
      <c r="AR64" s="20">
        <v>0.73700828283158371</v>
      </c>
      <c r="AS64" s="20">
        <v>0.73954100163300363</v>
      </c>
      <c r="AT64" s="20">
        <v>0.74180215695821716</v>
      </c>
      <c r="AU64" s="20">
        <v>0.74379329811969619</v>
      </c>
      <c r="AV64" s="20">
        <v>0.74551594108983221</v>
      </c>
      <c r="AW64" s="20">
        <v>0.74697144641076596</v>
      </c>
      <c r="AX64" s="20">
        <v>0.74816094610349815</v>
      </c>
      <c r="AY64" s="20">
        <v>0.74908531479143947</v>
      </c>
      <c r="AZ64" s="20">
        <v>0.74974517917912653</v>
      </c>
      <c r="BA64" s="20">
        <v>0.75014094747346738</v>
      </c>
      <c r="BB64" s="20">
        <v>0.75027284629573032</v>
      </c>
      <c r="DN64" s="12"/>
      <c r="DO64" s="12"/>
      <c r="DP64" s="12"/>
      <c r="DQ64" s="12"/>
      <c r="DR64" s="12"/>
      <c r="DS64" s="12"/>
      <c r="DT64" s="12"/>
      <c r="DU64" s="12"/>
      <c r="DV64" s="12"/>
      <c r="DW64" s="12"/>
      <c r="DX64" s="12"/>
      <c r="DY64" s="12"/>
      <c r="DZ64" s="12"/>
      <c r="EA64" s="12"/>
      <c r="EB64" s="12"/>
      <c r="EC64" s="12"/>
      <c r="ED64" s="12"/>
      <c r="EE64" s="12"/>
      <c r="EF64" s="12"/>
      <c r="EG64" s="12"/>
      <c r="EH64" s="12"/>
      <c r="EI64" s="12"/>
    </row>
    <row r="65" spans="1:139" ht="15" customHeight="1">
      <c r="A65" s="166">
        <v>8</v>
      </c>
      <c r="B65" s="20">
        <v>0.1</v>
      </c>
      <c r="C65" s="20">
        <v>0</v>
      </c>
      <c r="E65" s="4"/>
      <c r="F65" s="4"/>
      <c r="H65" s="23">
        <v>1.8750000000000003E-2</v>
      </c>
      <c r="I65" s="23">
        <v>8.2500000000000018E-2</v>
      </c>
      <c r="J65" s="19">
        <v>7351287572764384</v>
      </c>
      <c r="M65" s="133">
        <v>19</v>
      </c>
      <c r="N65" s="20">
        <v>0.52086942017118543</v>
      </c>
      <c r="O65" s="20">
        <v>0.52317606658983995</v>
      </c>
      <c r="P65" s="20">
        <v>0.52955479805898786</v>
      </c>
      <c r="Q65" s="20">
        <v>0.53873988937227602</v>
      </c>
      <c r="R65" s="20">
        <v>0.54941141310180874</v>
      </c>
      <c r="S65" s="20">
        <v>0.56059730135744412</v>
      </c>
      <c r="T65" s="20">
        <v>0.57171938078892004</v>
      </c>
      <c r="U65" s="20">
        <v>0.58248357880807966</v>
      </c>
      <c r="V65" s="20">
        <v>0.59276370042400917</v>
      </c>
      <c r="W65" s="20">
        <v>0.60252234552216077</v>
      </c>
      <c r="X65" s="20">
        <v>0.61176544464622429</v>
      </c>
      <c r="Y65" s="20">
        <v>0.62051811129730994</v>
      </c>
      <c r="Z65" s="20">
        <v>0.62881240850533859</v>
      </c>
      <c r="AA65" s="20">
        <v>0.63668132024114998</v>
      </c>
      <c r="AB65" s="20">
        <v>0.64415588115432032</v>
      </c>
      <c r="AC65" s="20">
        <v>0.65126384748700694</v>
      </c>
      <c r="AD65" s="20">
        <v>0.65802914997004125</v>
      </c>
      <c r="AE65" s="20">
        <v>0.6644717330827592</v>
      </c>
      <c r="AF65" s="20">
        <v>0.67060763181988114</v>
      </c>
      <c r="AG65" s="20">
        <v>0.67644919184058572</v>
      </c>
      <c r="AH65" s="20">
        <v>0.68200541278576998</v>
      </c>
      <c r="AI65" s="20">
        <v>0.68728237498277489</v>
      </c>
      <c r="AJ65" s="20">
        <v>0.69228374038842055</v>
      </c>
      <c r="AK65" s="20">
        <v>0.69701128902185494</v>
      </c>
      <c r="AL65" s="20">
        <v>0.70146547370651724</v>
      </c>
      <c r="AM65" s="20">
        <v>0.70564594930221047</v>
      </c>
      <c r="AN65" s="20">
        <v>0.70955205218831219</v>
      </c>
      <c r="AO65" s="20">
        <v>0.71318318605326281</v>
      </c>
      <c r="AP65" s="20">
        <v>0.71653909616388223</v>
      </c>
      <c r="AQ65" s="20">
        <v>0.71962000986807251</v>
      </c>
      <c r="AR65" s="20">
        <v>0.72242665783275106</v>
      </c>
      <c r="AS65" s="20">
        <v>0.7249601924208775</v>
      </c>
      <c r="AT65" s="20">
        <v>0.72722204818312197</v>
      </c>
      <c r="AU65" s="20">
        <v>0.72921377649742825</v>
      </c>
      <c r="AV65" s="20">
        <v>0.73093689549222018</v>
      </c>
      <c r="AW65" s="20">
        <v>0.73239277073978304</v>
      </c>
      <c r="AX65" s="20">
        <v>0.73358254411897739</v>
      </c>
      <c r="AY65" s="20">
        <v>0.73450710336760916</v>
      </c>
      <c r="AZ65" s="20">
        <v>0.73516709007207259</v>
      </c>
      <c r="BA65" s="20">
        <v>0.73556292552416702</v>
      </c>
      <c r="BB65" s="20">
        <v>0.73569484570242905</v>
      </c>
      <c r="DN65" s="12"/>
      <c r="DO65" s="12"/>
      <c r="DP65" s="12"/>
      <c r="DQ65" s="12"/>
      <c r="DR65" s="12"/>
      <c r="DS65" s="12"/>
      <c r="DT65" s="12"/>
      <c r="DU65" s="12"/>
      <c r="DV65" s="12"/>
      <c r="DW65" s="12"/>
      <c r="DX65" s="12"/>
      <c r="DY65" s="12"/>
      <c r="DZ65" s="12"/>
      <c r="EA65" s="12"/>
      <c r="EB65" s="12"/>
      <c r="EC65" s="12"/>
      <c r="ED65" s="12"/>
      <c r="EE65" s="12"/>
      <c r="EF65" s="12"/>
      <c r="EG65" s="12"/>
      <c r="EH65" s="12"/>
      <c r="EI65" s="12"/>
    </row>
    <row r="66" spans="1:139" ht="15" customHeight="1">
      <c r="A66" s="166">
        <v>9</v>
      </c>
      <c r="B66" s="20">
        <v>0.1</v>
      </c>
      <c r="C66" s="20">
        <v>0</v>
      </c>
      <c r="E66" s="4"/>
      <c r="F66" s="4"/>
      <c r="H66" s="23">
        <v>1.8750000000000003E-2</v>
      </c>
      <c r="I66" s="23">
        <v>8.6250000000000007E-2</v>
      </c>
      <c r="J66" s="19">
        <v>7348396744762912</v>
      </c>
      <c r="M66" s="133">
        <v>20</v>
      </c>
      <c r="N66" s="20">
        <v>0.50235518611431806</v>
      </c>
      <c r="O66" s="20">
        <v>0.50486442052923597</v>
      </c>
      <c r="P66" s="20">
        <v>0.51175726632890106</v>
      </c>
      <c r="Q66" s="20">
        <v>0.52157540483486298</v>
      </c>
      <c r="R66" s="20">
        <v>0.53284703105114761</v>
      </c>
      <c r="S66" s="20">
        <v>0.54453402064232315</v>
      </c>
      <c r="T66" s="20">
        <v>0.55605000348700251</v>
      </c>
      <c r="U66" s="20">
        <v>0.56711588704245008</v>
      </c>
      <c r="V66" s="20">
        <v>0.57762497082317454</v>
      </c>
      <c r="W66" s="20">
        <v>0.58755713048371949</v>
      </c>
      <c r="X66" s="20">
        <v>0.59693194901498547</v>
      </c>
      <c r="Y66" s="20">
        <v>0.60578488672252295</v>
      </c>
      <c r="Z66" s="20">
        <v>0.61415575289522484</v>
      </c>
      <c r="AA66" s="20">
        <v>0.62208331404418715</v>
      </c>
      <c r="AB66" s="20">
        <v>0.6296029330876276</v>
      </c>
      <c r="AC66" s="20">
        <v>0.6367456093642283</v>
      </c>
      <c r="AD66" s="20">
        <v>0.64353771195188325</v>
      </c>
      <c r="AE66" s="20">
        <v>0.65000101932261944</v>
      </c>
      <c r="AF66" s="20">
        <v>0.65615295307781896</v>
      </c>
      <c r="AG66" s="20">
        <v>0.66200691034783887</v>
      </c>
      <c r="AH66" s="20">
        <v>0.66757269732410307</v>
      </c>
      <c r="AI66" s="20">
        <v>0.67285701818343113</v>
      </c>
      <c r="AJ66" s="20">
        <v>0.67786402622362119</v>
      </c>
      <c r="AK66" s="20">
        <v>0.68259589169814205</v>
      </c>
      <c r="AL66" s="20">
        <v>0.68705338190781551</v>
      </c>
      <c r="AM66" s="20">
        <v>0.69123640337236214</v>
      </c>
      <c r="AN66" s="20">
        <v>0.69514449279607604</v>
      </c>
      <c r="AO66" s="20">
        <v>0.69877720726746873</v>
      </c>
      <c r="AP66" s="20">
        <v>0.70213440553302631</v>
      </c>
      <c r="AQ66" s="20">
        <v>0.70521639243232093</v>
      </c>
      <c r="AR66" s="20">
        <v>0.70802394849505046</v>
      </c>
      <c r="AS66" s="20">
        <v>0.7105582542676947</v>
      </c>
      <c r="AT66" s="20">
        <v>0.71282075985619608</v>
      </c>
      <c r="AU66" s="20">
        <v>0.7148130246982134</v>
      </c>
      <c r="AV66" s="20">
        <v>0.71653657397865356</v>
      </c>
      <c r="AW66" s="20">
        <v>0.71799278106178011</v>
      </c>
      <c r="AX66" s="20">
        <v>0.71918279895958537</v>
      </c>
      <c r="AY66" s="20">
        <v>0.72010752807531009</v>
      </c>
      <c r="AZ66" s="20">
        <v>0.72076762387397442</v>
      </c>
      <c r="BA66" s="20">
        <v>0.72116351920985111</v>
      </c>
      <c r="BB66" s="20">
        <v>0.72129545849839027</v>
      </c>
      <c r="DN66" s="12"/>
      <c r="DO66" s="12"/>
      <c r="DP66" s="12"/>
      <c r="DQ66" s="12"/>
      <c r="DR66" s="12"/>
      <c r="DS66" s="12"/>
      <c r="DT66" s="12"/>
      <c r="DU66" s="12"/>
      <c r="DV66" s="12"/>
      <c r="DW66" s="12"/>
      <c r="DX66" s="12"/>
      <c r="DY66" s="12"/>
      <c r="DZ66" s="12"/>
      <c r="EA66" s="12"/>
      <c r="EB66" s="12"/>
      <c r="EC66" s="12"/>
      <c r="ED66" s="12"/>
      <c r="EE66" s="12"/>
      <c r="EF66" s="12"/>
      <c r="EG66" s="12"/>
      <c r="EH66" s="12"/>
      <c r="EI66" s="12"/>
    </row>
    <row r="67" spans="1:139" ht="15" customHeight="1">
      <c r="A67" s="166">
        <v>10</v>
      </c>
      <c r="B67" s="20">
        <v>0.1</v>
      </c>
      <c r="C67" s="20">
        <v>0</v>
      </c>
      <c r="E67" s="4"/>
      <c r="F67" s="4"/>
      <c r="H67" s="23">
        <v>1.8750000000000003E-2</v>
      </c>
      <c r="I67" s="23">
        <v>9.0000000000000011E-2</v>
      </c>
      <c r="J67" s="19">
        <v>7345489771961968</v>
      </c>
      <c r="M67" s="133">
        <v>21</v>
      </c>
      <c r="N67" s="20">
        <v>0.48377508507946848</v>
      </c>
      <c r="O67" s="20">
        <v>0.48651423716914732</v>
      </c>
      <c r="P67" s="20">
        <v>0.49398283397747367</v>
      </c>
      <c r="Q67" s="20">
        <v>0.50449451489889541</v>
      </c>
      <c r="R67" s="20">
        <v>0.51640777121498382</v>
      </c>
      <c r="S67" s="20">
        <v>0.52861883309726598</v>
      </c>
      <c r="T67" s="20">
        <v>0.54053949072994856</v>
      </c>
      <c r="U67" s="20">
        <v>0.55191111475186505</v>
      </c>
      <c r="V67" s="20">
        <v>0.56264988067357358</v>
      </c>
      <c r="W67" s="20">
        <v>0.57275475659624575</v>
      </c>
      <c r="X67" s="20">
        <v>0.58225989643436959</v>
      </c>
      <c r="Y67" s="20">
        <v>0.59121154818605715</v>
      </c>
      <c r="Z67" s="20">
        <v>0.59965747416001935</v>
      </c>
      <c r="AA67" s="20">
        <v>0.60764231259897572</v>
      </c>
      <c r="AB67" s="20">
        <v>0.61520579165939882</v>
      </c>
      <c r="AC67" s="20">
        <v>0.62238216317351203</v>
      </c>
      <c r="AD67" s="20">
        <v>0.62920023322953378</v>
      </c>
      <c r="AE67" s="20">
        <v>0.63568360456242801</v>
      </c>
      <c r="AF67" s="20">
        <v>0.64185107253117346</v>
      </c>
      <c r="AG67" s="20">
        <v>0.6477170681403791</v>
      </c>
      <c r="AH67" s="20">
        <v>0.65329218491686736</v>
      </c>
      <c r="AI67" s="20">
        <v>0.65858372856601921</v>
      </c>
      <c r="AJ67" s="20">
        <v>0.66359632123978618</v>
      </c>
      <c r="AK67" s="20">
        <v>0.6683324999203798</v>
      </c>
      <c r="AL67" s="20">
        <v>0.67279332484238019</v>
      </c>
      <c r="AM67" s="20">
        <v>0.67697893424345801</v>
      </c>
      <c r="AN67" s="20">
        <v>0.68088904967126007</v>
      </c>
      <c r="AO67" s="20">
        <v>0.68452337013830644</v>
      </c>
      <c r="AP67" s="20">
        <v>0.68788186230538739</v>
      </c>
      <c r="AQ67" s="20">
        <v>0.69096490723774462</v>
      </c>
      <c r="AR67" s="20">
        <v>0.69377333865702406</v>
      </c>
      <c r="AS67" s="20">
        <v>0.69630837049306837</v>
      </c>
      <c r="AT67" s="20">
        <v>0.69857147509103801</v>
      </c>
      <c r="AU67" s="20">
        <v>0.70056422562599907</v>
      </c>
      <c r="AV67" s="20">
        <v>0.70228815922754984</v>
      </c>
      <c r="AW67" s="20">
        <v>0.70374465965180211</v>
      </c>
      <c r="AX67" s="20">
        <v>0.70493489244879459</v>
      </c>
      <c r="AY67" s="20">
        <v>0.70585977019921164</v>
      </c>
      <c r="AZ67" s="20">
        <v>0.70651996144266904</v>
      </c>
      <c r="BA67" s="20">
        <v>0.70691590904860213</v>
      </c>
      <c r="BB67" s="20">
        <v>0.70704786511825612</v>
      </c>
      <c r="DN67" s="12"/>
      <c r="DO67" s="12"/>
      <c r="DP67" s="12"/>
      <c r="DQ67" s="12"/>
      <c r="DR67" s="12"/>
      <c r="DS67" s="12"/>
      <c r="DT67" s="12"/>
      <c r="DU67" s="12"/>
      <c r="DV67" s="12"/>
      <c r="DW67" s="12"/>
      <c r="DX67" s="12"/>
      <c r="DY67" s="12"/>
      <c r="DZ67" s="12"/>
      <c r="EA67" s="12"/>
      <c r="EB67" s="12"/>
      <c r="EC67" s="12"/>
      <c r="ED67" s="12"/>
      <c r="EE67" s="12"/>
      <c r="EF67" s="12"/>
      <c r="EG67" s="12"/>
      <c r="EH67" s="12"/>
      <c r="EI67" s="12"/>
    </row>
    <row r="68" spans="1:139" ht="15" customHeight="1">
      <c r="A68" s="166">
        <v>11</v>
      </c>
      <c r="B68" s="20">
        <v>0.1</v>
      </c>
      <c r="C68" s="20">
        <v>0</v>
      </c>
      <c r="E68" s="4"/>
      <c r="F68" s="4"/>
      <c r="H68" s="23">
        <v>1.8750000000000003E-2</v>
      </c>
      <c r="I68" s="23">
        <v>9.3750000000000014E-2</v>
      </c>
      <c r="J68" s="19">
        <v>7342566071167752</v>
      </c>
      <c r="M68" s="133">
        <v>22</v>
      </c>
      <c r="N68" s="20">
        <v>0.46513425290061339</v>
      </c>
      <c r="O68" s="20">
        <v>0.46813573683965842</v>
      </c>
      <c r="P68" s="20">
        <v>0.47625155623173665</v>
      </c>
      <c r="Q68" s="20">
        <v>0.48752418359736832</v>
      </c>
      <c r="R68" s="20">
        <v>0.50012304434774635</v>
      </c>
      <c r="S68" s="20">
        <v>0.51288107687426443</v>
      </c>
      <c r="T68" s="20">
        <v>0.52521630158071153</v>
      </c>
      <c r="U68" s="20">
        <v>0.53689678962942622</v>
      </c>
      <c r="V68" s="20">
        <v>0.54786519406232659</v>
      </c>
      <c r="W68" s="20">
        <v>0.55814140850835847</v>
      </c>
      <c r="X68" s="20">
        <v>0.56777504382936461</v>
      </c>
      <c r="Y68" s="20">
        <v>0.57682353710073231</v>
      </c>
      <c r="Z68" s="20">
        <v>0.58534278090889247</v>
      </c>
      <c r="AA68" s="20">
        <v>0.59338335110646956</v>
      </c>
      <c r="AB68" s="20">
        <v>0.60098936294683036</v>
      </c>
      <c r="AC68" s="20">
        <v>0.60819831800496982</v>
      </c>
      <c r="AD68" s="20">
        <v>0.61504145037528624</v>
      </c>
      <c r="AE68" s="20">
        <v>0.62154417058276779</v>
      </c>
      <c r="AF68" s="20">
        <v>0.62772663079394508</v>
      </c>
      <c r="AG68" s="20">
        <v>0.6336042743232585</v>
      </c>
      <c r="AH68" s="20">
        <v>0.63918846064645252</v>
      </c>
      <c r="AI68" s="20">
        <v>0.64448707234810731</v>
      </c>
      <c r="AJ68" s="20">
        <v>0.64950517693781595</v>
      </c>
      <c r="AK68" s="20">
        <v>0.65424565331315865</v>
      </c>
      <c r="AL68" s="20">
        <v>0.65870983277912121</v>
      </c>
      <c r="AM68" s="20">
        <v>0.66289806462067447</v>
      </c>
      <c r="AN68" s="20">
        <v>0.66681023974981535</v>
      </c>
      <c r="AO68" s="20">
        <v>0.6704461871296451</v>
      </c>
      <c r="AP68" s="20">
        <v>0.67380597581968404</v>
      </c>
      <c r="AQ68" s="20">
        <v>0.67689006136494456</v>
      </c>
      <c r="AR68" s="20">
        <v>0.67969933400885429</v>
      </c>
      <c r="AS68" s="20">
        <v>0.68223504578594618</v>
      </c>
      <c r="AT68" s="20">
        <v>0.68449869798657059</v>
      </c>
      <c r="AU68" s="20">
        <v>0.68649188280494688</v>
      </c>
      <c r="AV68" s="20">
        <v>0.68821615431487893</v>
      </c>
      <c r="AW68" s="20">
        <v>0.68967290899989175</v>
      </c>
      <c r="AX68" s="20">
        <v>0.69086332656970451</v>
      </c>
      <c r="AY68" s="20">
        <v>0.69178833113161997</v>
      </c>
      <c r="AZ68" s="20">
        <v>0.69244860376611705</v>
      </c>
      <c r="BA68" s="20">
        <v>0.69284459567597378</v>
      </c>
      <c r="BB68" s="20">
        <v>0.69297656614010927</v>
      </c>
      <c r="DN68" s="12"/>
      <c r="DO68" s="12"/>
      <c r="DP68" s="12"/>
      <c r="DQ68" s="12"/>
      <c r="DR68" s="12"/>
      <c r="DS68" s="12"/>
      <c r="DT68" s="12"/>
      <c r="DU68" s="12"/>
      <c r="DV68" s="12"/>
      <c r="DW68" s="12"/>
      <c r="DX68" s="12"/>
      <c r="DY68" s="12"/>
      <c r="DZ68" s="12"/>
      <c r="EA68" s="12"/>
      <c r="EB68" s="12"/>
      <c r="EC68" s="12"/>
      <c r="ED68" s="12"/>
      <c r="EE68" s="12"/>
      <c r="EF68" s="12"/>
      <c r="EG68" s="12"/>
      <c r="EH68" s="12"/>
      <c r="EI68" s="12"/>
    </row>
    <row r="69" spans="1:139" ht="15" customHeight="1">
      <c r="A69" s="166">
        <v>12</v>
      </c>
      <c r="B69" s="20">
        <v>0.1</v>
      </c>
      <c r="C69" s="20">
        <v>0</v>
      </c>
      <c r="E69" s="4"/>
      <c r="F69" s="4"/>
      <c r="H69" s="23">
        <v>1.8750000000000003E-2</v>
      </c>
      <c r="I69" s="23">
        <v>9.7500000000000017E-2</v>
      </c>
      <c r="J69" s="19">
        <v>7339619005793856</v>
      </c>
      <c r="M69" s="133">
        <v>23</v>
      </c>
      <c r="N69" s="20">
        <v>0.44638771511692393</v>
      </c>
      <c r="O69" s="20">
        <v>0.4496902312413697</v>
      </c>
      <c r="P69" s="20">
        <v>0.45853647656183294</v>
      </c>
      <c r="Q69" s="20">
        <v>0.47064510622797756</v>
      </c>
      <c r="R69" s="20">
        <v>0.48397583406539452</v>
      </c>
      <c r="S69" s="20">
        <v>0.49730331726266352</v>
      </c>
      <c r="T69" s="20">
        <v>0.51006187308448259</v>
      </c>
      <c r="U69" s="20">
        <v>0.52205327716345062</v>
      </c>
      <c r="V69" s="20">
        <v>0.53325044299531099</v>
      </c>
      <c r="W69" s="20">
        <v>0.54369600521388395</v>
      </c>
      <c r="X69" s="20">
        <v>0.55345586781819134</v>
      </c>
      <c r="Y69" s="20">
        <v>0.5625990082255935</v>
      </c>
      <c r="Z69" s="20">
        <v>0.57118959320612717</v>
      </c>
      <c r="AA69" s="20">
        <v>0.57928417580266389</v>
      </c>
      <c r="AB69" s="20">
        <v>0.58693126473111801</v>
      </c>
      <c r="AC69" s="20">
        <v>0.59417159539968178</v>
      </c>
      <c r="AD69" s="20">
        <v>0.60103881356284627</v>
      </c>
      <c r="AE69" s="20">
        <v>0.60756011381173891</v>
      </c>
      <c r="AF69" s="20">
        <v>0.61375698444190374</v>
      </c>
      <c r="AG69" s="20">
        <v>0.61964585517454263</v>
      </c>
      <c r="AH69" s="20">
        <v>0.62523882817962984</v>
      </c>
      <c r="AI69" s="20">
        <v>0.63054433560568701</v>
      </c>
      <c r="AJ69" s="20">
        <v>0.63556786606453419</v>
      </c>
      <c r="AK69" s="20">
        <v>0.64031261392950045</v>
      </c>
      <c r="AL69" s="20">
        <v>0.64478015959937429</v>
      </c>
      <c r="AM69" s="20">
        <v>0.6489710417135921</v>
      </c>
      <c r="AN69" s="20">
        <v>0.65288530526229727</v>
      </c>
      <c r="AO69" s="20">
        <v>0.65652289645224771</v>
      </c>
      <c r="AP69" s="20">
        <v>0.65988398149426597</v>
      </c>
      <c r="AQ69" s="20">
        <v>0.66296908802957499</v>
      </c>
      <c r="AR69" s="20">
        <v>0.66577916640010715</v>
      </c>
      <c r="AS69" s="20">
        <v>0.66831551088135688</v>
      </c>
      <c r="AT69" s="20">
        <v>0.67057965865004687</v>
      </c>
      <c r="AU69" s="20">
        <v>0.6725732256862087</v>
      </c>
      <c r="AV69" s="20">
        <v>0.6742977882916471</v>
      </c>
      <c r="AW69" s="20">
        <v>0.67575475759299986</v>
      </c>
      <c r="AX69" s="20">
        <v>0.67694532943391184</v>
      </c>
      <c r="AY69" s="20">
        <v>0.67787043846361461</v>
      </c>
      <c r="AZ69" s="20">
        <v>0.67853077816899288</v>
      </c>
      <c r="BA69" s="20">
        <v>0.67892680609373768</v>
      </c>
      <c r="BB69" s="20">
        <v>0.67905878857273871</v>
      </c>
      <c r="DN69" s="12"/>
      <c r="DO69" s="12"/>
      <c r="DP69" s="12"/>
      <c r="DQ69" s="12"/>
      <c r="DR69" s="12"/>
      <c r="DS69" s="12"/>
      <c r="DT69" s="12"/>
      <c r="DU69" s="12"/>
      <c r="DV69" s="12"/>
      <c r="DW69" s="12"/>
      <c r="DX69" s="12"/>
      <c r="DY69" s="12"/>
      <c r="DZ69" s="12"/>
      <c r="EA69" s="12"/>
      <c r="EB69" s="12"/>
      <c r="EC69" s="12"/>
      <c r="ED69" s="12"/>
      <c r="EE69" s="12"/>
      <c r="EF69" s="12"/>
      <c r="EG69" s="12"/>
      <c r="EH69" s="12"/>
      <c r="EI69" s="12"/>
    </row>
    <row r="70" spans="1:139" ht="15" customHeight="1">
      <c r="A70" s="166">
        <v>13</v>
      </c>
      <c r="B70" s="20">
        <v>0.1</v>
      </c>
      <c r="C70" s="20">
        <v>0</v>
      </c>
      <c r="H70" s="23">
        <v>1.8750000000000003E-2</v>
      </c>
      <c r="I70" s="23">
        <v>0.10125000000000002</v>
      </c>
      <c r="J70" s="19">
        <v>7336646807272544</v>
      </c>
      <c r="M70" s="133">
        <v>24</v>
      </c>
      <c r="N70" s="20">
        <v>0.42753093389415436</v>
      </c>
      <c r="O70" s="20">
        <v>0.43118101747011356</v>
      </c>
      <c r="P70" s="20">
        <v>0.44085494456426261</v>
      </c>
      <c r="Q70" s="20">
        <v>0.45388305154489711</v>
      </c>
      <c r="R70" s="20">
        <v>0.46799391595162992</v>
      </c>
      <c r="S70" s="20">
        <v>0.48191248502078837</v>
      </c>
      <c r="T70" s="20">
        <v>0.49510173000456403</v>
      </c>
      <c r="U70" s="20">
        <v>0.50740488338104184</v>
      </c>
      <c r="V70" s="20">
        <v>0.51882903055009777</v>
      </c>
      <c r="W70" s="20">
        <v>0.52944130426395886</v>
      </c>
      <c r="X70" s="20">
        <v>0.53932467011316554</v>
      </c>
      <c r="Y70" s="20">
        <v>0.54855993537497383</v>
      </c>
      <c r="Z70" s="20">
        <v>0.55721964847513217</v>
      </c>
      <c r="AA70" s="20">
        <v>0.56536634951168785</v>
      </c>
      <c r="AB70" s="20">
        <v>0.57305293173999128</v>
      </c>
      <c r="AC70" s="20">
        <v>0.58032333397162639</v>
      </c>
      <c r="AD70" s="20">
        <v>0.58721359068144796</v>
      </c>
      <c r="AE70" s="20">
        <v>0.59375264872852429</v>
      </c>
      <c r="AF70" s="20">
        <v>0.59996330884359483</v>
      </c>
      <c r="AG70" s="20">
        <v>0.60586295624389519</v>
      </c>
      <c r="AH70" s="20">
        <v>0.61146441125910644</v>
      </c>
      <c r="AI70" s="20">
        <v>0.61677662505371722</v>
      </c>
      <c r="AJ70" s="20">
        <v>0.62180548279408754</v>
      </c>
      <c r="AK70" s="20">
        <v>0.62655446576458207</v>
      </c>
      <c r="AL70" s="20">
        <v>0.63102538174984668</v>
      </c>
      <c r="AM70" s="20">
        <v>0.63521893558538844</v>
      </c>
      <c r="AN70" s="20">
        <v>0.63913531158799908</v>
      </c>
      <c r="AO70" s="20">
        <v>0.6427745593893458</v>
      </c>
      <c r="AP70" s="20">
        <v>0.64613693773190084</v>
      </c>
      <c r="AQ70" s="20">
        <v>0.64922304304078271</v>
      </c>
      <c r="AR70" s="20">
        <v>0.65203388996210487</v>
      </c>
      <c r="AS70" s="20">
        <v>0.65457081830594288</v>
      </c>
      <c r="AT70" s="20">
        <v>0.65683540868012191</v>
      </c>
      <c r="AU70" s="20">
        <v>0.65882930483268154</v>
      </c>
      <c r="AV70" s="20">
        <v>0.66055411116837448</v>
      </c>
      <c r="AW70" s="20">
        <v>0.66201125466507094</v>
      </c>
      <c r="AX70" s="20">
        <v>0.66320194989708747</v>
      </c>
      <c r="AY70" s="20">
        <v>0.66412714044265786</v>
      </c>
      <c r="AZ70" s="20">
        <v>0.6647875327020154</v>
      </c>
      <c r="BA70" s="20">
        <v>0.66518358797689991</v>
      </c>
      <c r="BB70" s="20">
        <v>0.66531558016665171</v>
      </c>
      <c r="DN70" s="12"/>
      <c r="DO70" s="12"/>
      <c r="DP70" s="12"/>
      <c r="DQ70" s="12"/>
      <c r="DR70" s="12"/>
      <c r="DS70" s="12"/>
      <c r="DT70" s="12"/>
      <c r="DU70" s="12"/>
      <c r="DV70" s="12"/>
      <c r="DW70" s="12"/>
      <c r="DX70" s="12"/>
      <c r="DY70" s="12"/>
      <c r="DZ70" s="12"/>
      <c r="EA70" s="12"/>
      <c r="EB70" s="12"/>
      <c r="EC70" s="12"/>
      <c r="ED70" s="12"/>
      <c r="EE70" s="12"/>
      <c r="EF70" s="12"/>
      <c r="EG70" s="12"/>
      <c r="EH70" s="12"/>
      <c r="EI70" s="12"/>
    </row>
    <row r="71" spans="1:139" ht="15" customHeight="1">
      <c r="A71" s="166">
        <v>14</v>
      </c>
      <c r="B71" s="20">
        <v>0.1</v>
      </c>
      <c r="C71" s="20">
        <v>0</v>
      </c>
      <c r="H71" s="23">
        <v>1.8750000000000003E-2</v>
      </c>
      <c r="I71" s="23">
        <v>0.10500000000000001</v>
      </c>
      <c r="J71" s="19">
        <v>7333642121988320</v>
      </c>
      <c r="M71" s="133">
        <v>25</v>
      </c>
      <c r="N71" s="20">
        <v>0.40851439076826884</v>
      </c>
      <c r="O71" s="20">
        <v>0.41256843278070904</v>
      </c>
      <c r="P71" s="20">
        <v>0.42318419874247071</v>
      </c>
      <c r="Q71" s="20">
        <v>0.43722443614783607</v>
      </c>
      <c r="R71" s="20">
        <v>0.45216527156461972</v>
      </c>
      <c r="S71" s="20">
        <v>0.46669520075991006</v>
      </c>
      <c r="T71" s="20">
        <v>0.48032078388074112</v>
      </c>
      <c r="U71" s="20">
        <v>0.49293515068757532</v>
      </c>
      <c r="V71" s="20">
        <v>0.50458353058192185</v>
      </c>
      <c r="W71" s="20">
        <v>0.51535920491767373</v>
      </c>
      <c r="X71" s="20">
        <v>0.52536288417814547</v>
      </c>
      <c r="Y71" s="20">
        <v>0.53468742023243643</v>
      </c>
      <c r="Z71" s="20">
        <v>0.54341381246145037</v>
      </c>
      <c r="AA71" s="20">
        <v>0.55161056393581842</v>
      </c>
      <c r="AB71" s="20">
        <v>0.55933492942690122</v>
      </c>
      <c r="AC71" s="20">
        <v>0.5666340041640282</v>
      </c>
      <c r="AD71" s="20">
        <v>0.5735461832670784</v>
      </c>
      <c r="AE71" s="20">
        <v>0.58010212460842825</v>
      </c>
      <c r="AF71" s="20">
        <v>0.58632591588807081</v>
      </c>
      <c r="AG71" s="20">
        <v>0.59223586079644264</v>
      </c>
      <c r="AH71" s="20">
        <v>0.59784547301969859</v>
      </c>
      <c r="AI71" s="20">
        <v>0.60316418799053362</v>
      </c>
      <c r="AJ71" s="20">
        <v>0.60819826344165773</v>
      </c>
      <c r="AK71" s="20">
        <v>0.61295143601777646</v>
      </c>
      <c r="AL71" s="20">
        <v>0.61742572018288855</v>
      </c>
      <c r="AM71" s="20">
        <v>0.62162196156942229</v>
      </c>
      <c r="AN71" s="20">
        <v>0.62554047025782145</v>
      </c>
      <c r="AO71" s="20">
        <v>0.62918138370390542</v>
      </c>
      <c r="AP71" s="20">
        <v>0.63254504982645432</v>
      </c>
      <c r="AQ71" s="20">
        <v>0.63563212903990696</v>
      </c>
      <c r="AR71" s="20">
        <v>0.63844370576193277</v>
      </c>
      <c r="AS71" s="20">
        <v>0.64098116730252164</v>
      </c>
      <c r="AT71" s="20">
        <v>0.64324614643050337</v>
      </c>
      <c r="AU71" s="20">
        <v>0.64524031738288457</v>
      </c>
      <c r="AV71" s="20">
        <v>0.64696531965131854</v>
      </c>
      <c r="AW71" s="20">
        <v>0.64842259607243768</v>
      </c>
      <c r="AX71" s="20">
        <v>0.64961338363828514</v>
      </c>
      <c r="AY71" s="20">
        <v>0.65053863211705654</v>
      </c>
      <c r="AZ71" s="20">
        <v>0.65119906242481163</v>
      </c>
      <c r="BA71" s="20">
        <v>0.65159513595472118</v>
      </c>
      <c r="BB71" s="20">
        <v>0.65172713576521646</v>
      </c>
      <c r="DN71" s="12"/>
      <c r="DO71" s="12"/>
      <c r="DP71" s="12"/>
      <c r="DQ71" s="12"/>
      <c r="DR71" s="12"/>
      <c r="DS71" s="12"/>
      <c r="DT71" s="12"/>
      <c r="DU71" s="12"/>
      <c r="DV71" s="12"/>
      <c r="DW71" s="12"/>
      <c r="DX71" s="12"/>
      <c r="DY71" s="12"/>
      <c r="DZ71" s="12"/>
      <c r="EA71" s="12"/>
      <c r="EB71" s="12"/>
      <c r="EC71" s="12"/>
      <c r="ED71" s="12"/>
      <c r="EE71" s="12"/>
      <c r="EF71" s="12"/>
      <c r="EG71" s="12"/>
      <c r="EH71" s="12"/>
      <c r="EI71" s="12"/>
    </row>
    <row r="72" spans="1:139" ht="15" customHeight="1">
      <c r="A72" s="166">
        <v>15</v>
      </c>
      <c r="B72" s="20">
        <v>0.1</v>
      </c>
      <c r="C72" s="20">
        <v>0</v>
      </c>
      <c r="H72" s="23">
        <v>1.8750000000000003E-2</v>
      </c>
      <c r="I72" s="23">
        <v>0.10875000000000001</v>
      </c>
      <c r="J72" s="19">
        <v>7330601888750048</v>
      </c>
      <c r="M72" s="133">
        <v>26</v>
      </c>
      <c r="N72" s="20">
        <v>0.38932183828244676</v>
      </c>
      <c r="O72" s="20">
        <v>0.39384874313615742</v>
      </c>
      <c r="P72" s="20">
        <v>0.4055409101841253</v>
      </c>
      <c r="Q72" s="20">
        <v>0.42069580419734909</v>
      </c>
      <c r="R72" s="20">
        <v>0.43651736023164328</v>
      </c>
      <c r="S72" s="20">
        <v>0.45167694662025398</v>
      </c>
      <c r="T72" s="20">
        <v>0.46574248161230553</v>
      </c>
      <c r="U72" s="20">
        <v>0.47866600424697486</v>
      </c>
      <c r="V72" s="20">
        <v>0.49053483841627965</v>
      </c>
      <c r="W72" s="20">
        <v>0.50146990112459655</v>
      </c>
      <c r="X72" s="20">
        <v>0.51159023066535336</v>
      </c>
      <c r="Y72" s="20">
        <v>0.52100084822795012</v>
      </c>
      <c r="Z72" s="20">
        <v>0.52979123586479182</v>
      </c>
      <c r="AA72" s="20">
        <v>0.53803579587405037</v>
      </c>
      <c r="AB72" s="20">
        <v>0.54579611023697105</v>
      </c>
      <c r="AC72" s="20">
        <v>0.55312236382898627</v>
      </c>
      <c r="AD72" s="20">
        <v>0.5600552818503779</v>
      </c>
      <c r="AE72" s="20">
        <v>0.56662718011965874</v>
      </c>
      <c r="AF72" s="20">
        <v>0.57286340824606685</v>
      </c>
      <c r="AG72" s="20">
        <v>0.57878314331878555</v>
      </c>
      <c r="AH72" s="20">
        <v>0.58440056909870519</v>
      </c>
      <c r="AI72" s="20">
        <v>0.58972556468527659</v>
      </c>
      <c r="AJ72" s="20">
        <v>0.59476473844454569</v>
      </c>
      <c r="AK72" s="20">
        <v>0.59952204640349993</v>
      </c>
      <c r="AL72" s="20">
        <v>0.60399969128179121</v>
      </c>
      <c r="AM72" s="20">
        <v>0.60819863058130308</v>
      </c>
      <c r="AN72" s="20">
        <v>0.61211928892208012</v>
      </c>
      <c r="AO72" s="20">
        <v>0.61576187306783725</v>
      </c>
      <c r="AP72" s="20">
        <v>0.61912681910418121</v>
      </c>
      <c r="AQ72" s="20">
        <v>0.62221484417688122</v>
      </c>
      <c r="AR72" s="20">
        <v>0.6250271102481888</v>
      </c>
      <c r="AS72" s="20">
        <v>0.62756505188388445</v>
      </c>
      <c r="AT72" s="20">
        <v>0.62983036489820121</v>
      </c>
      <c r="AU72" s="20">
        <v>0.63182475461425724</v>
      </c>
      <c r="AV72" s="20">
        <v>0.63354990459175253</v>
      </c>
      <c r="AW72" s="20">
        <v>0.63500727148150815</v>
      </c>
      <c r="AX72" s="20">
        <v>0.63619812029210399</v>
      </c>
      <c r="AY72" s="20">
        <v>0.63712340227348274</v>
      </c>
      <c r="AZ72" s="20">
        <v>0.63778385634302714</v>
      </c>
      <c r="BA72" s="20">
        <v>0.63817993841572562</v>
      </c>
      <c r="BB72" s="20">
        <v>0.63831194417820591</v>
      </c>
      <c r="DN72" s="12"/>
      <c r="DO72" s="12"/>
      <c r="DP72" s="12"/>
      <c r="DQ72" s="12"/>
      <c r="DR72" s="12"/>
      <c r="DS72" s="12"/>
      <c r="DT72" s="12"/>
      <c r="DU72" s="12"/>
      <c r="DV72" s="12"/>
      <c r="DW72" s="12"/>
      <c r="DX72" s="12"/>
      <c r="DY72" s="12"/>
      <c r="DZ72" s="12"/>
      <c r="EA72" s="12"/>
      <c r="EB72" s="12"/>
      <c r="EC72" s="12"/>
      <c r="ED72" s="12"/>
      <c r="EE72" s="12"/>
      <c r="EF72" s="12"/>
      <c r="EG72" s="12"/>
      <c r="EH72" s="12"/>
      <c r="EI72" s="12"/>
    </row>
    <row r="73" spans="1:139" ht="15" customHeight="1">
      <c r="A73" s="166">
        <v>16</v>
      </c>
      <c r="B73" s="20">
        <v>0.1</v>
      </c>
      <c r="C73" s="20">
        <v>0</v>
      </c>
      <c r="H73" s="23">
        <v>1.8750000000000003E-2</v>
      </c>
      <c r="I73" s="23">
        <v>0.11250000000000002</v>
      </c>
      <c r="J73" s="19">
        <v>7327517836703504</v>
      </c>
      <c r="M73" s="133">
        <v>27</v>
      </c>
      <c r="N73" s="20">
        <v>0.36989473074824847</v>
      </c>
      <c r="O73" s="20">
        <v>0.37497945621367973</v>
      </c>
      <c r="P73" s="20">
        <v>0.3879073096654852</v>
      </c>
      <c r="Q73" s="20">
        <v>0.40428980550521332</v>
      </c>
      <c r="R73" s="20">
        <v>0.42104283530662601</v>
      </c>
      <c r="S73" s="20">
        <v>0.4368476763416882</v>
      </c>
      <c r="T73" s="20">
        <v>0.4513543998624221</v>
      </c>
      <c r="U73" s="20">
        <v>0.46458334854805344</v>
      </c>
      <c r="V73" s="20">
        <v>0.4766677757461027</v>
      </c>
      <c r="W73" s="20">
        <v>0.48775749059335582</v>
      </c>
      <c r="X73" s="20">
        <v>0.49799033129041698</v>
      </c>
      <c r="Y73" s="20">
        <v>0.50748350423530386</v>
      </c>
      <c r="Z73" s="20">
        <v>0.51633497268549078</v>
      </c>
      <c r="AA73" s="20">
        <v>0.52462492644229619</v>
      </c>
      <c r="AB73" s="20">
        <v>0.53241923458871754</v>
      </c>
      <c r="AC73" s="20">
        <v>0.53977107977401984</v>
      </c>
      <c r="AD73" s="20">
        <v>0.54672348886707123</v>
      </c>
      <c r="AE73" s="20">
        <v>0.5533103666927065</v>
      </c>
      <c r="AF73" s="20">
        <v>0.55955830387450955</v>
      </c>
      <c r="AG73" s="20">
        <v>0.5654872944386089</v>
      </c>
      <c r="AH73" s="20">
        <v>0.57111217353810817</v>
      </c>
      <c r="AI73" s="20">
        <v>0.57644321465032311</v>
      </c>
      <c r="AJ73" s="20">
        <v>0.58148735949748809</v>
      </c>
      <c r="AK73" s="20">
        <v>0.58624874060773946</v>
      </c>
      <c r="AL73" s="20">
        <v>0.59072973506828097</v>
      </c>
      <c r="AM73" s="20">
        <v>0.59493137761122927</v>
      </c>
      <c r="AN73" s="20">
        <v>0.5988542004976134</v>
      </c>
      <c r="AO73" s="20">
        <v>0.60249845643222621</v>
      </c>
      <c r="AP73" s="20">
        <v>0.60586467285329859</v>
      </c>
      <c r="AQ73" s="20">
        <v>0.60895361220596977</v>
      </c>
      <c r="AR73" s="20">
        <v>0.61176652583112578</v>
      </c>
      <c r="AS73" s="20">
        <v>0.61430489152496204</v>
      </c>
      <c r="AT73" s="20">
        <v>0.61657048282331661</v>
      </c>
      <c r="AU73" s="20">
        <v>0.6185650331112269</v>
      </c>
      <c r="AV73" s="20">
        <v>0.62029028250387874</v>
      </c>
      <c r="AW73" s="20">
        <v>0.62174769590245593</v>
      </c>
      <c r="AX73" s="20">
        <v>0.622938575264253</v>
      </c>
      <c r="AY73" s="20">
        <v>0.6238638652114572</v>
      </c>
      <c r="AZ73" s="20">
        <v>0.62452432940869873</v>
      </c>
      <c r="BA73" s="20">
        <v>0.62492040941059801</v>
      </c>
      <c r="BB73" s="20">
        <v>0.62505242023907825</v>
      </c>
      <c r="DN73" s="12"/>
      <c r="DO73" s="12"/>
      <c r="DP73" s="12"/>
      <c r="DQ73" s="12"/>
      <c r="DR73" s="12"/>
      <c r="DS73" s="12"/>
      <c r="DT73" s="12"/>
      <c r="DU73" s="12"/>
      <c r="DV73" s="12"/>
      <c r="DW73" s="12"/>
      <c r="DX73" s="12"/>
      <c r="DY73" s="12"/>
      <c r="DZ73" s="12"/>
      <c r="EA73" s="12"/>
      <c r="EB73" s="12"/>
      <c r="EC73" s="12"/>
      <c r="ED73" s="12"/>
      <c r="EE73" s="12"/>
      <c r="EF73" s="12"/>
      <c r="EG73" s="12"/>
      <c r="EH73" s="12"/>
      <c r="EI73" s="12"/>
    </row>
    <row r="74" spans="1:139" ht="15" customHeight="1">
      <c r="A74" s="166">
        <v>17</v>
      </c>
      <c r="B74" s="20">
        <v>0.1</v>
      </c>
      <c r="C74" s="20">
        <v>0</v>
      </c>
      <c r="H74" s="23">
        <v>1.8750000000000003E-2</v>
      </c>
      <c r="I74" s="23">
        <v>0.11625000000000002</v>
      </c>
      <c r="J74" s="19">
        <v>7324385626992944</v>
      </c>
      <c r="M74" s="133">
        <v>28</v>
      </c>
      <c r="N74" s="20">
        <v>0.35020092921167817</v>
      </c>
      <c r="O74" s="20">
        <v>0.35594924833774844</v>
      </c>
      <c r="P74" s="20">
        <v>0.37030211932161683</v>
      </c>
      <c r="Q74" s="20">
        <v>0.38803584673824726</v>
      </c>
      <c r="R74" s="20">
        <v>0.40576987029758549</v>
      </c>
      <c r="S74" s="20">
        <v>0.42223203026432993</v>
      </c>
      <c r="T74" s="20">
        <v>0.4371784524007023</v>
      </c>
      <c r="U74" s="20">
        <v>0.45070727858867854</v>
      </c>
      <c r="V74" s="20">
        <v>0.4630013117784289</v>
      </c>
      <c r="W74" s="20">
        <v>0.47424019860681943</v>
      </c>
      <c r="X74" s="20">
        <v>0.48458093702999189</v>
      </c>
      <c r="Y74" s="20">
        <v>0.49415280064146949</v>
      </c>
      <c r="Z74" s="20">
        <v>0.5030622100641492</v>
      </c>
      <c r="AA74" s="20">
        <v>0.51139496993638212</v>
      </c>
      <c r="AB74" s="20">
        <v>0.51922120048488618</v>
      </c>
      <c r="AC74" s="20">
        <v>0.5265969562368007</v>
      </c>
      <c r="AD74" s="20">
        <v>0.53356754745657686</v>
      </c>
      <c r="AE74" s="20">
        <v>0.54016837621875957</v>
      </c>
      <c r="AF74" s="20">
        <v>0.54642726383376494</v>
      </c>
      <c r="AG74" s="20">
        <v>0.55236494770980993</v>
      </c>
      <c r="AH74" s="20">
        <v>0.55799690557856096</v>
      </c>
      <c r="AI74" s="20">
        <v>0.56333374248341894</v>
      </c>
      <c r="AJ74" s="20">
        <v>0.56838272533649858</v>
      </c>
      <c r="AK74" s="20">
        <v>0.5731481092056816</v>
      </c>
      <c r="AL74" s="20">
        <v>0.57763244005130376</v>
      </c>
      <c r="AM74" s="20">
        <v>0.58183678577939801</v>
      </c>
      <c r="AN74" s="20">
        <v>0.58576178716075245</v>
      </c>
      <c r="AO74" s="20">
        <v>0.589407711310725</v>
      </c>
      <c r="AP74" s="20">
        <v>0.59277518756906522</v>
      </c>
      <c r="AQ74" s="20">
        <v>0.59586500510465967</v>
      </c>
      <c r="AR74" s="20">
        <v>0.59867852348930117</v>
      </c>
      <c r="AS74" s="20">
        <v>0.60121725322647002</v>
      </c>
      <c r="AT74" s="20">
        <v>0.60348306678951635</v>
      </c>
      <c r="AU74" s="20">
        <v>0.60547771639157355</v>
      </c>
      <c r="AV74" s="20">
        <v>0.6072030172701256</v>
      </c>
      <c r="AW74" s="20">
        <v>0.60866043098489553</v>
      </c>
      <c r="AX74" s="20">
        <v>0.60985131115845737</v>
      </c>
      <c r="AY74" s="20">
        <v>0.61077658182353489</v>
      </c>
      <c r="AZ74" s="20">
        <v>0.61143704377100805</v>
      </c>
      <c r="BA74" s="20">
        <v>0.61183310961752968</v>
      </c>
      <c r="BB74" s="20">
        <v>0.61196512600532782</v>
      </c>
      <c r="DN74" s="12"/>
      <c r="DO74" s="12"/>
      <c r="DP74" s="12"/>
      <c r="DQ74" s="12"/>
      <c r="DR74" s="12"/>
      <c r="DS74" s="12"/>
      <c r="DT74" s="12"/>
      <c r="DU74" s="12"/>
      <c r="DV74" s="12"/>
      <c r="DW74" s="12"/>
      <c r="DX74" s="12"/>
      <c r="DY74" s="12"/>
      <c r="DZ74" s="12"/>
      <c r="EA74" s="12"/>
      <c r="EB74" s="12"/>
      <c r="EC74" s="12"/>
      <c r="ED74" s="12"/>
      <c r="EE74" s="12"/>
      <c r="EF74" s="12"/>
      <c r="EG74" s="12"/>
      <c r="EH74" s="12"/>
      <c r="EI74" s="12"/>
    </row>
    <row r="75" spans="1:139" ht="15" customHeight="1">
      <c r="A75" s="166">
        <v>18</v>
      </c>
      <c r="B75" s="20">
        <v>0.1</v>
      </c>
      <c r="C75" s="20">
        <v>0</v>
      </c>
      <c r="H75" s="23">
        <v>1.8750000000000003E-2</v>
      </c>
      <c r="I75" s="23">
        <v>0.12000000000000002</v>
      </c>
      <c r="J75" s="19">
        <v>7321196178581720</v>
      </c>
      <c r="M75" s="133">
        <v>29</v>
      </c>
      <c r="N75" s="20">
        <v>0.33016604345038353</v>
      </c>
      <c r="O75" s="20">
        <v>0.33671103623632598</v>
      </c>
      <c r="P75" s="20">
        <v>0.35271485793033397</v>
      </c>
      <c r="Q75" s="20">
        <v>0.37193392216031501</v>
      </c>
      <c r="R75" s="20">
        <v>0.39069559819001326</v>
      </c>
      <c r="S75" s="20">
        <v>0.40782266584487642</v>
      </c>
      <c r="T75" s="20">
        <v>0.42320422729759111</v>
      </c>
      <c r="U75" s="20">
        <v>0.43702542498092029</v>
      </c>
      <c r="V75" s="20">
        <v>0.44952192348089903</v>
      </c>
      <c r="W75" s="20">
        <v>0.46090374172837451</v>
      </c>
      <c r="X75" s="20">
        <v>0.47134729906805239</v>
      </c>
      <c r="Y75" s="20">
        <v>0.4809936487410329</v>
      </c>
      <c r="Z75" s="20">
        <v>0.48995764365790451</v>
      </c>
      <c r="AA75" s="20">
        <v>0.49833044889391542</v>
      </c>
      <c r="AB75" s="20">
        <v>0.50618642125916613</v>
      </c>
      <c r="AC75" s="20">
        <v>0.51358431224447842</v>
      </c>
      <c r="AD75" s="20">
        <v>0.52057172088116843</v>
      </c>
      <c r="AE75" s="20">
        <v>0.52718542015600089</v>
      </c>
      <c r="AF75" s="20">
        <v>0.53345447309670679</v>
      </c>
      <c r="AG75" s="20">
        <v>0.53940026018819887</v>
      </c>
      <c r="AH75" s="20">
        <v>0.54503891168482343</v>
      </c>
      <c r="AI75" s="20">
        <v>0.5503812797056411</v>
      </c>
      <c r="AJ75" s="20">
        <v>0.55543496484462385</v>
      </c>
      <c r="AK75" s="20">
        <v>0.56020427260862904</v>
      </c>
      <c r="AL75" s="20">
        <v>0.56469192728089945</v>
      </c>
      <c r="AM75" s="20">
        <v>0.56889897024164238</v>
      </c>
      <c r="AN75" s="20">
        <v>0.57282616522304997</v>
      </c>
      <c r="AO75" s="20">
        <v>0.57647374849598221</v>
      </c>
      <c r="AP75" s="20">
        <v>0.57984247451455184</v>
      </c>
      <c r="AQ75" s="20">
        <v>0.58293312844321943</v>
      </c>
      <c r="AR75" s="20">
        <v>0.58574720889204657</v>
      </c>
      <c r="AS75" s="20">
        <v>0.58828623741533193</v>
      </c>
      <c r="AT75" s="20">
        <v>0.59055221779725586</v>
      </c>
      <c r="AU75" s="20">
        <v>0.59254690124459486</v>
      </c>
      <c r="AV75" s="20">
        <v>0.59427220708019779</v>
      </c>
      <c r="AW75" s="20">
        <v>0.5957295716937544</v>
      </c>
      <c r="AX75" s="20">
        <v>0.59692042497801989</v>
      </c>
      <c r="AY75" s="20">
        <v>0.59784564649199401</v>
      </c>
      <c r="AZ75" s="20">
        <v>0.59850609615123018</v>
      </c>
      <c r="BA75" s="20">
        <v>0.59890213335507869</v>
      </c>
      <c r="BB75" s="20">
        <v>0.59903415817984129</v>
      </c>
      <c r="DN75" s="12"/>
      <c r="DO75" s="12"/>
      <c r="DP75" s="12"/>
      <c r="DQ75" s="12"/>
      <c r="DR75" s="12"/>
      <c r="DS75" s="12"/>
      <c r="DT75" s="12"/>
      <c r="DU75" s="12"/>
      <c r="DV75" s="12"/>
      <c r="DW75" s="12"/>
      <c r="DX75" s="12"/>
      <c r="DY75" s="12"/>
      <c r="DZ75" s="12"/>
      <c r="EA75" s="12"/>
      <c r="EB75" s="12"/>
      <c r="EC75" s="12"/>
      <c r="ED75" s="12"/>
      <c r="EE75" s="12"/>
      <c r="EF75" s="12"/>
      <c r="EG75" s="12"/>
      <c r="EH75" s="12"/>
      <c r="EI75" s="12"/>
    </row>
    <row r="76" spans="1:139" ht="15" customHeight="1">
      <c r="A76" s="166">
        <v>19</v>
      </c>
      <c r="B76" s="20">
        <v>0.1</v>
      </c>
      <c r="C76" s="20">
        <v>0</v>
      </c>
      <c r="H76" s="23">
        <v>1.8750000000000003E-2</v>
      </c>
      <c r="I76" s="23">
        <v>0.12375000000000001</v>
      </c>
      <c r="J76" s="19">
        <v>7317944438366296</v>
      </c>
      <c r="M76" s="133">
        <v>30</v>
      </c>
      <c r="N76" s="20">
        <v>0.30973421370927789</v>
      </c>
      <c r="O76" s="20">
        <v>0.31724521990515686</v>
      </c>
      <c r="P76" s="20">
        <v>0.33517057579516335</v>
      </c>
      <c r="Q76" s="20">
        <v>0.35601858871468811</v>
      </c>
      <c r="R76" s="20">
        <v>0.37584962800515892</v>
      </c>
      <c r="S76" s="20">
        <v>0.39364367274803941</v>
      </c>
      <c r="T76" s="20">
        <v>0.40945242551963684</v>
      </c>
      <c r="U76" s="20">
        <v>0.42355640114673526</v>
      </c>
      <c r="V76" s="20">
        <v>0.43624706154883364</v>
      </c>
      <c r="W76" s="20">
        <v>0.44776479438233502</v>
      </c>
      <c r="X76" s="20">
        <v>0.45830564341726721</v>
      </c>
      <c r="Y76" s="20">
        <v>0.46802193099332073</v>
      </c>
      <c r="Z76" s="20">
        <v>0.47703695393194712</v>
      </c>
      <c r="AA76" s="20">
        <v>0.48544686765439421</v>
      </c>
      <c r="AB76" s="20">
        <v>0.49333030153952906</v>
      </c>
      <c r="AC76" s="20">
        <v>0.50074845507744026</v>
      </c>
      <c r="AD76" s="20">
        <v>0.50775126763165401</v>
      </c>
      <c r="AE76" s="20">
        <v>0.51437670245400302</v>
      </c>
      <c r="AF76" s="20">
        <v>0.52065511467692827</v>
      </c>
      <c r="AG76" s="20">
        <v>0.52660838464754522</v>
      </c>
      <c r="AH76" s="20">
        <v>0.53225333868636349</v>
      </c>
      <c r="AI76" s="20">
        <v>0.5376009562135724</v>
      </c>
      <c r="AJ76" s="20">
        <v>0.54265920923981803</v>
      </c>
      <c r="AK76" s="20">
        <v>0.54743235173678195</v>
      </c>
      <c r="AL76" s="20">
        <v>0.55192332164906566</v>
      </c>
      <c r="AM76" s="20">
        <v>0.55613304813393949</v>
      </c>
      <c r="AN76" s="20">
        <v>0.56006245564004931</v>
      </c>
      <c r="AO76" s="20">
        <v>0.56371168133212035</v>
      </c>
      <c r="AP76" s="20">
        <v>0.56708164952075546</v>
      </c>
      <c r="AQ76" s="20">
        <v>0.57017309006628047</v>
      </c>
      <c r="AR76" s="20">
        <v>0.57298769158968299</v>
      </c>
      <c r="AS76" s="20">
        <v>0.57552694613985766</v>
      </c>
      <c r="AT76" s="20">
        <v>0.57779303997737363</v>
      </c>
      <c r="AU76" s="20">
        <v>0.57978768553059556</v>
      </c>
      <c r="AV76" s="20">
        <v>0.58151295277684634</v>
      </c>
      <c r="AW76" s="20">
        <v>0.58297021381956249</v>
      </c>
      <c r="AX76" s="20">
        <v>0.58416101622203886</v>
      </c>
      <c r="AY76" s="20">
        <v>0.58508615441657097</v>
      </c>
      <c r="AZ76" s="20">
        <v>0.58574658577304339</v>
      </c>
      <c r="BA76" s="20">
        <v>0.58614257581442752</v>
      </c>
      <c r="BB76" s="20">
        <v>0.58627461599664332</v>
      </c>
      <c r="DN76" s="12"/>
      <c r="DO76" s="12"/>
      <c r="DP76" s="12"/>
      <c r="DQ76" s="12"/>
      <c r="DR76" s="12"/>
      <c r="DS76" s="12"/>
      <c r="DT76" s="12"/>
      <c r="DU76" s="12"/>
      <c r="DV76" s="12"/>
      <c r="DW76" s="12"/>
      <c r="DX76" s="12"/>
      <c r="DY76" s="12"/>
      <c r="DZ76" s="12"/>
      <c r="EA76" s="12"/>
      <c r="EB76" s="12"/>
      <c r="EC76" s="12"/>
      <c r="ED76" s="12"/>
      <c r="EE76" s="12"/>
      <c r="EF76" s="12"/>
      <c r="EG76" s="12"/>
      <c r="EH76" s="12"/>
      <c r="EI76" s="12"/>
    </row>
    <row r="77" spans="1:139" ht="15" customHeight="1">
      <c r="A77" s="166">
        <v>20</v>
      </c>
      <c r="B77" s="20">
        <v>0.1</v>
      </c>
      <c r="C77" s="20">
        <v>0</v>
      </c>
      <c r="H77" s="23">
        <v>1.8750000000000003E-2</v>
      </c>
      <c r="I77" s="23">
        <v>0.12750000000000003</v>
      </c>
      <c r="J77" s="19">
        <v>7314621654287808</v>
      </c>
      <c r="M77" s="133">
        <v>31</v>
      </c>
      <c r="N77" s="20">
        <v>0.288803702407401</v>
      </c>
      <c r="O77" s="20">
        <v>0.29749884323311127</v>
      </c>
      <c r="P77" s="20">
        <v>0.31767078515856884</v>
      </c>
      <c r="Q77" s="20">
        <v>0.34029872912432718</v>
      </c>
      <c r="R77" s="20">
        <v>0.36123329488724365</v>
      </c>
      <c r="S77" s="20">
        <v>0.37968973980465748</v>
      </c>
      <c r="T77" s="20">
        <v>0.39591407602241341</v>
      </c>
      <c r="U77" s="20">
        <v>0.41028902840950654</v>
      </c>
      <c r="V77" s="20">
        <v>0.42316440190673454</v>
      </c>
      <c r="W77" s="20">
        <v>0.43481023937182967</v>
      </c>
      <c r="X77" s="20">
        <v>0.44544243383817061</v>
      </c>
      <c r="Y77" s="20">
        <v>0.45522376053065333</v>
      </c>
      <c r="Z77" s="20">
        <v>0.46428607297263164</v>
      </c>
      <c r="AA77" s="20">
        <v>0.4727299759052318</v>
      </c>
      <c r="AB77" s="20">
        <v>0.48063850592320539</v>
      </c>
      <c r="AC77" s="20">
        <v>0.48807494627393622</v>
      </c>
      <c r="AD77" s="20">
        <v>0.49509171139785668</v>
      </c>
      <c r="AE77" s="20">
        <v>0.50172768737703766</v>
      </c>
      <c r="AF77" s="20">
        <v>0.50801464070218361</v>
      </c>
      <c r="AG77" s="20">
        <v>0.51397473889754308</v>
      </c>
      <c r="AH77" s="20">
        <v>0.51962560585372397</v>
      </c>
      <c r="AI77" s="20">
        <v>0.52497817086731269</v>
      </c>
      <c r="AJ77" s="20">
        <v>0.5300408650529681</v>
      </c>
      <c r="AK77" s="20">
        <v>0.53481773971190172</v>
      </c>
      <c r="AL77" s="20">
        <v>0.5393120256828785</v>
      </c>
      <c r="AM77" s="20">
        <v>0.54352441120750661</v>
      </c>
      <c r="AN77" s="20">
        <v>0.54745605850363488</v>
      </c>
      <c r="AO77" s="20">
        <v>0.55110689913577937</v>
      </c>
      <c r="AP77" s="20">
        <v>0.55447810805888365</v>
      </c>
      <c r="AQ77" s="20">
        <v>0.5575702741394547</v>
      </c>
      <c r="AR77" s="20">
        <v>0.56038536055566346</v>
      </c>
      <c r="AS77" s="20">
        <v>0.56292475760711747</v>
      </c>
      <c r="AT77" s="20">
        <v>0.56519091651212372</v>
      </c>
      <c r="AU77" s="20">
        <v>0.56718544313792241</v>
      </c>
      <c r="AV77" s="20">
        <v>0.56891063409427167</v>
      </c>
      <c r="AW77" s="20">
        <v>0.57036772925623924</v>
      </c>
      <c r="AX77" s="20">
        <v>0.57155846335056948</v>
      </c>
      <c r="AY77" s="20">
        <v>0.57248347710584324</v>
      </c>
      <c r="AZ77" s="20">
        <v>0.57314389098335361</v>
      </c>
      <c r="BA77" s="20">
        <v>0.57353980866145582</v>
      </c>
      <c r="BB77" s="20">
        <v>0.57367187788951257</v>
      </c>
      <c r="DN77" s="12"/>
      <c r="DO77" s="12"/>
      <c r="DP77" s="12"/>
      <c r="DQ77" s="12"/>
      <c r="DR77" s="12"/>
      <c r="DS77" s="12"/>
      <c r="DT77" s="12"/>
      <c r="DU77" s="12"/>
      <c r="DV77" s="12"/>
      <c r="DW77" s="12"/>
      <c r="DX77" s="12"/>
      <c r="DY77" s="12"/>
      <c r="DZ77" s="12"/>
      <c r="EA77" s="12"/>
      <c r="EB77" s="12"/>
      <c r="EC77" s="12"/>
      <c r="ED77" s="12"/>
      <c r="EE77" s="12"/>
      <c r="EF77" s="12"/>
      <c r="EG77" s="12"/>
      <c r="EH77" s="12"/>
      <c r="EI77" s="12"/>
    </row>
    <row r="78" spans="1:139" ht="15" customHeight="1">
      <c r="A78" s="166">
        <v>21</v>
      </c>
      <c r="B78" s="20">
        <v>0.1</v>
      </c>
      <c r="C78" s="20">
        <v>0</v>
      </c>
      <c r="H78" s="23">
        <v>1.8750000000000003E-2</v>
      </c>
      <c r="I78" s="23">
        <v>0.13125000000000003</v>
      </c>
      <c r="J78" s="19">
        <v>7311224430444256</v>
      </c>
      <c r="M78" s="133">
        <v>32</v>
      </c>
      <c r="N78" s="20">
        <v>0.26728020651141565</v>
      </c>
      <c r="O78" s="20">
        <v>0.27744412566442894</v>
      </c>
      <c r="P78" s="20">
        <v>0.30025401356968995</v>
      </c>
      <c r="Q78" s="20">
        <v>0.32481636368635169</v>
      </c>
      <c r="R78" s="20">
        <v>0.34687793061365119</v>
      </c>
      <c r="S78" s="20">
        <v>0.36598436990181543</v>
      </c>
      <c r="T78" s="20">
        <v>0.38260882763202547</v>
      </c>
      <c r="U78" s="20">
        <v>0.39724063428678913</v>
      </c>
      <c r="V78" s="20">
        <v>0.41029017765054254</v>
      </c>
      <c r="W78" s="20">
        <v>0.4220554929286911</v>
      </c>
      <c r="X78" s="20">
        <v>0.43277271250604671</v>
      </c>
      <c r="Y78" s="20">
        <v>0.44261381364140351</v>
      </c>
      <c r="Z78" s="20">
        <v>0.45171952610826654</v>
      </c>
      <c r="AA78" s="20">
        <v>0.4601941032586131</v>
      </c>
      <c r="AB78" s="20">
        <v>0.46812529976250544</v>
      </c>
      <c r="AC78" s="20">
        <v>0.47557793660467368</v>
      </c>
      <c r="AD78" s="20">
        <v>0.48260718069246672</v>
      </c>
      <c r="AE78" s="20">
        <v>0.48925243430635934</v>
      </c>
      <c r="AF78" s="20">
        <v>0.49554711088851361</v>
      </c>
      <c r="AG78" s="20">
        <v>0.50151334017365601</v>
      </c>
      <c r="AH78" s="20">
        <v>0.50716974228320943</v>
      </c>
      <c r="AI78" s="20">
        <v>0.51252692534459454</v>
      </c>
      <c r="AJ78" s="20">
        <v>0.51759395050878632</v>
      </c>
      <c r="AK78" s="20">
        <v>0.52237443512503801</v>
      </c>
      <c r="AL78" s="20">
        <v>0.52687205501455592</v>
      </c>
      <c r="AM78" s="20">
        <v>0.53108705852483928</v>
      </c>
      <c r="AN78" s="20">
        <v>0.53502098771395568</v>
      </c>
      <c r="AO78" s="20">
        <v>0.53867339934833314</v>
      </c>
      <c r="AP78" s="20">
        <v>0.54204585919967974</v>
      </c>
      <c r="AQ78" s="20">
        <v>0.54513867279102157</v>
      </c>
      <c r="AR78" s="20">
        <v>0.54795421752985285</v>
      </c>
      <c r="AS78" s="20">
        <v>0.5504936574077347</v>
      </c>
      <c r="AT78" s="20">
        <v>0.55275984249138455</v>
      </c>
      <c r="AU78" s="20">
        <v>0.55475415487051194</v>
      </c>
      <c r="AV78" s="20">
        <v>0.55647924215239863</v>
      </c>
      <c r="AW78" s="20">
        <v>0.5579360966530208</v>
      </c>
      <c r="AX78" s="20">
        <v>0.55912675603779871</v>
      </c>
      <c r="AY78" s="20">
        <v>0.56005159287313322</v>
      </c>
      <c r="AZ78" s="20">
        <v>0.56071200135405763</v>
      </c>
      <c r="BA78" s="20">
        <v>0.56110781045857849</v>
      </c>
      <c r="BB78" s="20">
        <v>0.56123993354134349</v>
      </c>
      <c r="DN78" s="12"/>
      <c r="DO78" s="12"/>
      <c r="DP78" s="12"/>
      <c r="DQ78" s="12"/>
      <c r="DR78" s="12"/>
      <c r="DS78" s="12"/>
      <c r="DT78" s="12"/>
      <c r="DU78" s="12"/>
      <c r="DV78" s="12"/>
      <c r="DW78" s="12"/>
      <c r="DX78" s="12"/>
      <c r="DY78" s="12"/>
      <c r="DZ78" s="12"/>
      <c r="EA78" s="12"/>
      <c r="EB78" s="12"/>
      <c r="EC78" s="12"/>
      <c r="ED78" s="12"/>
      <c r="EE78" s="12"/>
      <c r="EF78" s="12"/>
      <c r="EG78" s="12"/>
      <c r="EH78" s="12"/>
      <c r="EI78" s="12"/>
    </row>
    <row r="79" spans="1:139" ht="15" customHeight="1">
      <c r="A79" s="166">
        <v>22</v>
      </c>
      <c r="B79" s="20">
        <v>0.1</v>
      </c>
      <c r="C79" s="20">
        <v>0</v>
      </c>
      <c r="H79" s="23">
        <v>1.8750000000000003E-2</v>
      </c>
      <c r="I79" s="23">
        <v>0.13500000000000001</v>
      </c>
      <c r="J79" s="19">
        <v>7307748665950312</v>
      </c>
      <c r="M79" s="133">
        <v>33</v>
      </c>
      <c r="N79" s="20">
        <v>0.2450135542529813</v>
      </c>
      <c r="O79" s="20">
        <v>0.25702292370233432</v>
      </c>
      <c r="P79" s="20">
        <v>0.28294243383370216</v>
      </c>
      <c r="Q79" s="20">
        <v>0.30959075242204637</v>
      </c>
      <c r="R79" s="20">
        <v>0.33278845004358754</v>
      </c>
      <c r="S79" s="20">
        <v>0.35252345297325693</v>
      </c>
      <c r="T79" s="20">
        <v>0.36952863606689823</v>
      </c>
      <c r="U79" s="20">
        <v>0.38440074110300132</v>
      </c>
      <c r="V79" s="20">
        <v>0.39761291303683843</v>
      </c>
      <c r="W79" s="20">
        <v>0.40948822615979635</v>
      </c>
      <c r="X79" s="20">
        <v>0.42028384420127973</v>
      </c>
      <c r="Y79" s="20">
        <v>0.43017906205729867</v>
      </c>
      <c r="Z79" s="20">
        <v>0.4393241785877734</v>
      </c>
      <c r="AA79" s="20">
        <v>0.44782589641332898</v>
      </c>
      <c r="AB79" s="20">
        <v>0.45577729675020912</v>
      </c>
      <c r="AC79" s="20">
        <v>0.46324390618073041</v>
      </c>
      <c r="AD79" s="20">
        <v>0.4702841570778834</v>
      </c>
      <c r="AE79" s="20">
        <v>0.47693733998858001</v>
      </c>
      <c r="AF79" s="20">
        <v>0.48323894142113971</v>
      </c>
      <c r="AG79" s="20">
        <v>0.48921054909450973</v>
      </c>
      <c r="AH79" s="20">
        <v>0.49487213644976036</v>
      </c>
      <c r="AI79" s="20">
        <v>0.5002335695179958</v>
      </c>
      <c r="AJ79" s="20">
        <v>0.5053048457302256</v>
      </c>
      <c r="AK79" s="20">
        <v>0.51008878861013096</v>
      </c>
      <c r="AL79" s="20">
        <v>0.51458978920448073</v>
      </c>
      <c r="AM79" s="20">
        <v>0.51880734404315521</v>
      </c>
      <c r="AN79" s="20">
        <v>0.5227436223534434</v>
      </c>
      <c r="AO79" s="20">
        <v>0.52639753593775551</v>
      </c>
      <c r="AP79" s="20">
        <v>0.52977127742820451</v>
      </c>
      <c r="AQ79" s="20">
        <v>0.53286463515903704</v>
      </c>
      <c r="AR79" s="20">
        <v>0.53568062918238624</v>
      </c>
      <c r="AS79" s="20">
        <v>0.53821998806291993</v>
      </c>
      <c r="AT79" s="20">
        <v>0.54048617738134053</v>
      </c>
      <c r="AU79" s="20">
        <v>0.54248015841863217</v>
      </c>
      <c r="AV79" s="20">
        <v>0.54420513218192379</v>
      </c>
      <c r="AW79" s="20">
        <v>0.54566165170538927</v>
      </c>
      <c r="AX79" s="20">
        <v>0.54685224808953203</v>
      </c>
      <c r="AY79" s="20">
        <v>0.54777683735752813</v>
      </c>
      <c r="AZ79" s="20">
        <v>0.54843727072671389</v>
      </c>
      <c r="BA79" s="20">
        <v>0.54883291729404737</v>
      </c>
      <c r="BB79" s="20">
        <v>0.54896513697824723</v>
      </c>
      <c r="DN79" s="12"/>
      <c r="DO79" s="12"/>
      <c r="DP79" s="12"/>
      <c r="DQ79" s="12"/>
      <c r="DR79" s="12"/>
      <c r="DS79" s="12"/>
      <c r="DT79" s="12"/>
      <c r="DU79" s="12"/>
      <c r="DV79" s="12"/>
      <c r="DW79" s="12"/>
      <c r="DX79" s="12"/>
      <c r="DY79" s="12"/>
      <c r="DZ79" s="12"/>
      <c r="EA79" s="12"/>
      <c r="EB79" s="12"/>
      <c r="EC79" s="12"/>
      <c r="ED79" s="12"/>
      <c r="EE79" s="12"/>
      <c r="EF79" s="12"/>
      <c r="EG79" s="12"/>
      <c r="EH79" s="12"/>
      <c r="EI79" s="12"/>
    </row>
    <row r="80" spans="1:139" ht="15" customHeight="1">
      <c r="A80" s="166">
        <v>23</v>
      </c>
      <c r="B80" s="20">
        <v>0.1</v>
      </c>
      <c r="C80" s="20">
        <v>0</v>
      </c>
      <c r="H80" s="23">
        <v>1.8750000000000003E-2</v>
      </c>
      <c r="I80" s="23">
        <v>0.13875000000000001</v>
      </c>
      <c r="J80" s="19">
        <v>7304200494106368</v>
      </c>
      <c r="M80" s="133">
        <v>34</v>
      </c>
      <c r="N80" s="20">
        <v>0.22184218647673729</v>
      </c>
      <c r="O80" s="20">
        <v>0.23620288364971748</v>
      </c>
      <c r="P80" s="20">
        <v>0.26580004812505137</v>
      </c>
      <c r="Q80" s="20">
        <v>0.29467300564617221</v>
      </c>
      <c r="R80" s="20">
        <v>0.31899755612138264</v>
      </c>
      <c r="S80" s="20">
        <v>0.33932951365670067</v>
      </c>
      <c r="T80" s="20">
        <v>0.35669216450691765</v>
      </c>
      <c r="U80" s="20">
        <v>0.37178545831419452</v>
      </c>
      <c r="V80" s="20">
        <v>0.38514787210314771</v>
      </c>
      <c r="W80" s="20">
        <v>0.3971227916207985</v>
      </c>
      <c r="X80" s="20">
        <v>0.40798997149446248</v>
      </c>
      <c r="Y80" s="20">
        <v>0.41793320922745397</v>
      </c>
      <c r="Z80" s="20">
        <v>0.42711369002645838</v>
      </c>
      <c r="AA80" s="20">
        <v>0.43563875872678304</v>
      </c>
      <c r="AB80" s="20">
        <v>0.44360791148395678</v>
      </c>
      <c r="AC80" s="20">
        <v>0.45108610523465437</v>
      </c>
      <c r="AD80" s="20">
        <v>0.45813592593906838</v>
      </c>
      <c r="AE80" s="20">
        <v>0.46479557972295799</v>
      </c>
      <c r="AF80" s="20">
        <v>0.47110335417442317</v>
      </c>
      <c r="AG80" s="20">
        <v>0.47707951086685352</v>
      </c>
      <c r="AH80" s="20">
        <v>0.48274598408192765</v>
      </c>
      <c r="AI80" s="20">
        <v>0.48811124245352822</v>
      </c>
      <c r="AJ80" s="20">
        <v>0.49318673943340485</v>
      </c>
      <c r="AK80" s="20">
        <v>0.49797394352241187</v>
      </c>
      <c r="AL80" s="20">
        <v>0.50247841741348021</v>
      </c>
      <c r="AM80" s="20">
        <v>0.50669841693091022</v>
      </c>
      <c r="AN80" s="20">
        <v>0.51063715147336142</v>
      </c>
      <c r="AO80" s="20">
        <v>0.51429245933358603</v>
      </c>
      <c r="AP80" s="20">
        <v>0.51766754665283787</v>
      </c>
      <c r="AQ80" s="20">
        <v>0.52076130693189004</v>
      </c>
      <c r="AR80" s="20">
        <v>0.52357777045591503</v>
      </c>
      <c r="AS80" s="20">
        <v>0.52611688822824343</v>
      </c>
      <c r="AT80" s="20">
        <v>0.52838308783714427</v>
      </c>
      <c r="AU80" s="20">
        <v>0.53037658729881121</v>
      </c>
      <c r="AV80" s="20">
        <v>0.53210146595773045</v>
      </c>
      <c r="AW80" s="20">
        <v>0.53355752592279382</v>
      </c>
      <c r="AX80" s="20">
        <v>0.53474809962377801</v>
      </c>
      <c r="AY80" s="20">
        <v>0.53567234216395443</v>
      </c>
      <c r="AZ80" s="20">
        <v>0.53633285924304674</v>
      </c>
      <c r="BA80" s="20">
        <v>0.53672826137208529</v>
      </c>
      <c r="BB80" s="20">
        <v>0.53686064854386462</v>
      </c>
      <c r="DN80" s="12"/>
      <c r="DO80" s="12"/>
      <c r="DP80" s="12"/>
      <c r="DQ80" s="12"/>
      <c r="DR80" s="12"/>
      <c r="DS80" s="12"/>
      <c r="DT80" s="12"/>
      <c r="DU80" s="12"/>
      <c r="DV80" s="12"/>
      <c r="DW80" s="12"/>
      <c r="DX80" s="12"/>
      <c r="DY80" s="12"/>
      <c r="DZ80" s="12"/>
      <c r="EA80" s="12"/>
      <c r="EB80" s="12"/>
      <c r="EC80" s="12"/>
      <c r="ED80" s="12"/>
      <c r="EE80" s="12"/>
      <c r="EF80" s="12"/>
      <c r="EG80" s="12"/>
      <c r="EH80" s="12"/>
      <c r="EI80" s="12"/>
    </row>
    <row r="81" spans="1:139" ht="15" customHeight="1">
      <c r="A81" s="166">
        <v>24</v>
      </c>
      <c r="B81" s="20">
        <v>0.1</v>
      </c>
      <c r="C81" s="20">
        <v>0</v>
      </c>
      <c r="H81" s="23">
        <v>1.8750000000000003E-2</v>
      </c>
      <c r="I81" s="23">
        <v>0.14250000000000002</v>
      </c>
      <c r="J81" s="19">
        <v>7300594290819976</v>
      </c>
      <c r="M81" s="133">
        <v>35</v>
      </c>
      <c r="N81" s="20">
        <v>0.19752586338173403</v>
      </c>
      <c r="O81" s="20">
        <v>0.21492796836830191</v>
      </c>
      <c r="P81" s="20">
        <v>0.24888450291380165</v>
      </c>
      <c r="Q81" s="20">
        <v>0.28009300199276321</v>
      </c>
      <c r="R81" s="20">
        <v>0.30551248786892771</v>
      </c>
      <c r="S81" s="20">
        <v>0.32639858217566381</v>
      </c>
      <c r="T81" s="20">
        <v>0.34409184359794048</v>
      </c>
      <c r="U81" s="20">
        <v>0.35938452823876066</v>
      </c>
      <c r="V81" s="20">
        <v>0.37288417106830768</v>
      </c>
      <c r="W81" s="20">
        <v>0.38494730792840709</v>
      </c>
      <c r="X81" s="20">
        <v>0.39587913453455004</v>
      </c>
      <c r="Y81" s="20">
        <v>0.40586378758236019</v>
      </c>
      <c r="Z81" s="20">
        <v>0.41507563474710635</v>
      </c>
      <c r="AA81" s="20">
        <v>0.42361995335285102</v>
      </c>
      <c r="AB81" s="20">
        <v>0.43160447952572528</v>
      </c>
      <c r="AC81" s="20">
        <v>0.43909166082423856</v>
      </c>
      <c r="AD81" s="20">
        <v>0.44614969642295754</v>
      </c>
      <c r="AE81" s="20">
        <v>0.45281421663369553</v>
      </c>
      <c r="AF81" s="20">
        <v>0.45912749678998582</v>
      </c>
      <c r="AG81" s="20">
        <v>0.46510726657046814</v>
      </c>
      <c r="AH81" s="20">
        <v>0.47077840853190694</v>
      </c>
      <c r="AI81" s="20">
        <v>0.47614698532265948</v>
      </c>
      <c r="AJ81" s="20">
        <v>0.48122674966895029</v>
      </c>
      <c r="AK81" s="20">
        <v>0.48601695019377122</v>
      </c>
      <c r="AL81" s="20">
        <v>0.4905250595505114</v>
      </c>
      <c r="AM81" s="20">
        <v>0.49474733694052248</v>
      </c>
      <c r="AN81" s="20">
        <v>0.49868869563144352</v>
      </c>
      <c r="AO81" s="20">
        <v>0.50234523268968423</v>
      </c>
      <c r="AP81" s="20">
        <v>0.50572178204865958</v>
      </c>
      <c r="AQ81" s="20">
        <v>0.50881574728990109</v>
      </c>
      <c r="AR81" s="20">
        <v>0.51163274663825797</v>
      </c>
      <c r="AS81" s="20">
        <v>0.51417141016973478</v>
      </c>
      <c r="AT81" s="20">
        <v>0.51643766998629403</v>
      </c>
      <c r="AU81" s="20">
        <v>0.51843048877710374</v>
      </c>
      <c r="AV81" s="20">
        <v>0.52015533427890737</v>
      </c>
      <c r="AW81" s="20">
        <v>0.52161076488675451</v>
      </c>
      <c r="AX81" s="20">
        <v>0.52280139970730066</v>
      </c>
      <c r="AY81" s="20">
        <v>0.52372515337298742</v>
      </c>
      <c r="AZ81" s="20">
        <v>0.5243858560902428</v>
      </c>
      <c r="BA81" s="20">
        <v>0.52478088963738079</v>
      </c>
      <c r="BB81" s="20">
        <v>0.52491355768804837</v>
      </c>
      <c r="DN81" s="12"/>
      <c r="DO81" s="12"/>
      <c r="DP81" s="12"/>
      <c r="DQ81" s="12"/>
      <c r="DR81" s="12"/>
      <c r="DS81" s="12"/>
      <c r="DT81" s="12"/>
      <c r="DU81" s="12"/>
      <c r="DV81" s="12"/>
      <c r="DW81" s="12"/>
      <c r="DX81" s="12"/>
      <c r="DY81" s="12"/>
      <c r="DZ81" s="12"/>
      <c r="EA81" s="12"/>
      <c r="EB81" s="12"/>
      <c r="EC81" s="12"/>
      <c r="ED81" s="12"/>
      <c r="EE81" s="12"/>
      <c r="EF81" s="12"/>
      <c r="EG81" s="12"/>
      <c r="EH81" s="12"/>
      <c r="EI81" s="12"/>
    </row>
    <row r="82" spans="1:139" ht="15" customHeight="1">
      <c r="A82" s="166">
        <v>25</v>
      </c>
      <c r="B82" s="20">
        <v>0.1</v>
      </c>
      <c r="C82" s="20">
        <v>0</v>
      </c>
      <c r="H82" s="23">
        <v>1.8750000000000003E-2</v>
      </c>
      <c r="I82" s="23">
        <v>0.14625000000000002</v>
      </c>
      <c r="J82" s="19">
        <v>7296969942352872</v>
      </c>
      <c r="M82" s="133">
        <v>36</v>
      </c>
      <c r="N82" s="20">
        <v>0.17177613439324091</v>
      </c>
      <c r="O82" s="20">
        <v>0.1931764347879249</v>
      </c>
      <c r="P82" s="20">
        <v>0.23230437600489875</v>
      </c>
      <c r="Q82" s="20">
        <v>0.26591022738897818</v>
      </c>
      <c r="R82" s="20">
        <v>0.29236607665303105</v>
      </c>
      <c r="S82" s="20">
        <v>0.31375149509438849</v>
      </c>
      <c r="T82" s="20">
        <v>0.33174536865644427</v>
      </c>
      <c r="U82" s="20">
        <v>0.3472128178671865</v>
      </c>
      <c r="V82" s="20">
        <v>0.36083633025916667</v>
      </c>
      <c r="W82" s="20">
        <v>0.37297518722299416</v>
      </c>
      <c r="X82" s="20">
        <v>0.38396482864157166</v>
      </c>
      <c r="Y82" s="20">
        <v>0.39398369560833113</v>
      </c>
      <c r="Z82" s="20">
        <v>0.40322305806822456</v>
      </c>
      <c r="AA82" s="20">
        <v>0.41178214359401788</v>
      </c>
      <c r="AB82" s="20">
        <v>0.4197798115628773</v>
      </c>
      <c r="AC82" s="20">
        <v>0.42727311845875132</v>
      </c>
      <c r="AD82" s="20">
        <v>0.43433815369974166</v>
      </c>
      <c r="AE82" s="20">
        <v>0.44100574378682322</v>
      </c>
      <c r="AF82" s="20">
        <v>0.44732399335492634</v>
      </c>
      <c r="AG82" s="20">
        <v>0.45330629537734068</v>
      </c>
      <c r="AH82" s="20">
        <v>0.45898201011957801</v>
      </c>
      <c r="AI82" s="20">
        <v>0.46435328349789062</v>
      </c>
      <c r="AJ82" s="20">
        <v>0.46943747200293939</v>
      </c>
      <c r="AK82" s="20">
        <v>0.47423030777140646</v>
      </c>
      <c r="AL82" s="20">
        <v>0.4787423134532407</v>
      </c>
      <c r="AM82" s="20">
        <v>0.48296661594639784</v>
      </c>
      <c r="AN82" s="20">
        <v>0.48691085322034516</v>
      </c>
      <c r="AO82" s="20">
        <v>0.49056837308721368</v>
      </c>
      <c r="AP82" s="20">
        <v>0.4939465756154221</v>
      </c>
      <c r="AQ82" s="20">
        <v>0.49704046974109611</v>
      </c>
      <c r="AR82" s="20">
        <v>0.49985813824736813</v>
      </c>
      <c r="AS82" s="20">
        <v>0.50239606027675376</v>
      </c>
      <c r="AT82" s="20">
        <v>0.50466249379743877</v>
      </c>
      <c r="AU82" s="20">
        <v>0.5066543641452147</v>
      </c>
      <c r="AV82" s="20">
        <v>0.50837930096583595</v>
      </c>
      <c r="AW82" s="20">
        <v>0.50983386837547129</v>
      </c>
      <c r="AX82" s="20">
        <v>0.51102471011104178</v>
      </c>
      <c r="AY82" s="20">
        <v>0.51194777155036364</v>
      </c>
      <c r="AZ82" s="20">
        <v>0.51260882311510347</v>
      </c>
      <c r="BA82" s="20">
        <v>0.51300330373870673</v>
      </c>
      <c r="BB82" s="20">
        <v>0.51313642653271263</v>
      </c>
      <c r="DN82" s="12"/>
      <c r="DO82" s="12"/>
      <c r="DP82" s="12"/>
      <c r="DQ82" s="12"/>
      <c r="DR82" s="12"/>
      <c r="DS82" s="12"/>
      <c r="DT82" s="12"/>
      <c r="DU82" s="12"/>
      <c r="DV82" s="12"/>
      <c r="DW82" s="12"/>
      <c r="DX82" s="12"/>
      <c r="DY82" s="12"/>
      <c r="DZ82" s="12"/>
      <c r="EA82" s="12"/>
      <c r="EB82" s="12"/>
      <c r="EC82" s="12"/>
      <c r="ED82" s="12"/>
      <c r="EE82" s="12"/>
      <c r="EF82" s="12"/>
      <c r="EG82" s="12"/>
      <c r="EH82" s="12"/>
      <c r="EI82" s="12"/>
    </row>
    <row r="83" spans="1:139" ht="15" customHeight="1">
      <c r="A83" s="166">
        <v>26</v>
      </c>
      <c r="B83" s="20">
        <v>0.1</v>
      </c>
      <c r="C83" s="20">
        <v>0</v>
      </c>
      <c r="H83" s="23">
        <v>1.8750000000000003E-2</v>
      </c>
      <c r="I83" s="23">
        <v>0.15000000000000002</v>
      </c>
      <c r="J83" s="19">
        <v>7293402284142320</v>
      </c>
      <c r="M83" s="133">
        <v>37</v>
      </c>
      <c r="N83" s="20">
        <v>0.14417446104675241</v>
      </c>
      <c r="O83" s="20">
        <v>0.17092202601500833</v>
      </c>
      <c r="P83" s="20">
        <v>0.21617533262463673</v>
      </c>
      <c r="Q83" s="20">
        <v>0.2521619338891774</v>
      </c>
      <c r="R83" s="20">
        <v>0.27956564446241405</v>
      </c>
      <c r="S83" s="20">
        <v>0.30138326145477345</v>
      </c>
      <c r="T83" s="20">
        <v>0.31964518850273882</v>
      </c>
      <c r="U83" s="20">
        <v>0.33525987027890286</v>
      </c>
      <c r="V83" s="20">
        <v>0.34899383452829907</v>
      </c>
      <c r="W83" s="20">
        <v>0.36119471298695316</v>
      </c>
      <c r="X83" s="20">
        <v>0.37223557924816314</v>
      </c>
      <c r="Y83" s="20">
        <v>0.38228078129673732</v>
      </c>
      <c r="Z83" s="20">
        <v>0.39154405599241127</v>
      </c>
      <c r="AA83" s="20">
        <v>0.40011297817897723</v>
      </c>
      <c r="AB83" s="20">
        <v>0.40812177548295842</v>
      </c>
      <c r="AC83" s="20">
        <v>0.41561802841782619</v>
      </c>
      <c r="AD83" s="20">
        <v>0.42268904272552699</v>
      </c>
      <c r="AE83" s="20">
        <v>0.42935767140731768</v>
      </c>
      <c r="AF83" s="20">
        <v>0.43568052955454106</v>
      </c>
      <c r="AG83" s="20">
        <v>0.44166410261174105</v>
      </c>
      <c r="AH83" s="20">
        <v>0.44734445246998827</v>
      </c>
      <c r="AI83" s="20">
        <v>0.45271765538940695</v>
      </c>
      <c r="AJ83" s="20">
        <v>0.45780656687887344</v>
      </c>
      <c r="AK83" s="20">
        <v>0.46260155376512585</v>
      </c>
      <c r="AL83" s="20">
        <v>0.46711784314752675</v>
      </c>
      <c r="AM83" s="20">
        <v>0.47134380812892268</v>
      </c>
      <c r="AN83" s="20">
        <v>0.47529128948649202</v>
      </c>
      <c r="AO83" s="20">
        <v>0.47894944223761454</v>
      </c>
      <c r="AP83" s="20">
        <v>0.48232958576952012</v>
      </c>
      <c r="AQ83" s="20">
        <v>0.48542303320301683</v>
      </c>
      <c r="AR83" s="20">
        <v>0.48824159104065917</v>
      </c>
      <c r="AS83" s="20">
        <v>0.49077839045287314</v>
      </c>
      <c r="AT83" s="20">
        <v>0.49304519343744857</v>
      </c>
      <c r="AU83" s="20">
        <v>0.49503576039069463</v>
      </c>
      <c r="AV83" s="20">
        <v>0.49676099352751218</v>
      </c>
      <c r="AW83" s="20">
        <v>0.49821438226636255</v>
      </c>
      <c r="AX83" s="20">
        <v>0.49940565621900557</v>
      </c>
      <c r="AY83" s="20">
        <v>0.50032774382316236</v>
      </c>
      <c r="AZ83" s="20">
        <v>0.50098938588915642</v>
      </c>
      <c r="BA83" s="20">
        <v>0.50138305219084589</v>
      </c>
      <c r="BB83" s="20">
        <v>0.50151688098883274</v>
      </c>
      <c r="DN83" s="12"/>
      <c r="DO83" s="12"/>
      <c r="DP83" s="12"/>
      <c r="DQ83" s="12"/>
      <c r="DR83" s="12"/>
      <c r="DS83" s="12"/>
      <c r="DT83" s="12"/>
      <c r="DU83" s="12"/>
      <c r="DV83" s="12"/>
      <c r="DW83" s="12"/>
      <c r="DX83" s="12"/>
      <c r="DY83" s="12"/>
      <c r="DZ83" s="12"/>
      <c r="EA83" s="12"/>
      <c r="EB83" s="12"/>
      <c r="EC83" s="12"/>
      <c r="ED83" s="12"/>
      <c r="EE83" s="12"/>
      <c r="EF83" s="12"/>
      <c r="EG83" s="12"/>
      <c r="EH83" s="12"/>
      <c r="EI83" s="12"/>
    </row>
    <row r="84" spans="1:139" ht="15" customHeight="1">
      <c r="A84" s="166">
        <v>27</v>
      </c>
      <c r="B84" s="20">
        <v>0.1</v>
      </c>
      <c r="C84" s="20">
        <v>0</v>
      </c>
      <c r="H84" s="23">
        <v>3.7500000000000006E-2</v>
      </c>
      <c r="I84" s="23">
        <v>0</v>
      </c>
      <c r="J84" s="19">
        <v>7411402396537944</v>
      </c>
      <c r="M84" s="133">
        <v>38</v>
      </c>
      <c r="N84" s="20">
        <v>0.11417409884283472</v>
      </c>
      <c r="O84" s="20">
        <v>0.1482040119639231</v>
      </c>
      <c r="P84" s="20">
        <v>0.20067631655845516</v>
      </c>
      <c r="Q84" s="20">
        <v>0.23891038996877914</v>
      </c>
      <c r="R84" s="20">
        <v>0.26714149082722083</v>
      </c>
      <c r="S84" s="20">
        <v>0.28931248848159102</v>
      </c>
      <c r="T84" s="20">
        <v>0.30780776564224627</v>
      </c>
      <c r="U84" s="20">
        <v>0.32353944752902564</v>
      </c>
      <c r="V84" s="20">
        <v>0.33737050982958089</v>
      </c>
      <c r="W84" s="20">
        <v>0.34961857067188795</v>
      </c>
      <c r="X84" s="20">
        <v>0.3607043551995045</v>
      </c>
      <c r="Y84" s="20">
        <v>0.37076735700422281</v>
      </c>
      <c r="Z84" s="20">
        <v>0.38005120521810482</v>
      </c>
      <c r="AA84" s="20">
        <v>0.38862459463188004</v>
      </c>
      <c r="AB84" s="20">
        <v>0.39664273552312623</v>
      </c>
      <c r="AC84" s="20">
        <v>0.40413844110089708</v>
      </c>
      <c r="AD84" s="20">
        <v>0.41121461294309214</v>
      </c>
      <c r="AE84" s="20">
        <v>0.41788201652400425</v>
      </c>
      <c r="AF84" s="20">
        <v>0.4242093009655804</v>
      </c>
      <c r="AG84" s="20">
        <v>0.43019270519410902</v>
      </c>
      <c r="AH84" s="20">
        <v>0.4358779131692192</v>
      </c>
      <c r="AI84" s="20">
        <v>0.44125213465169028</v>
      </c>
      <c r="AJ84" s="20">
        <v>0.44634621183294393</v>
      </c>
      <c r="AK84" s="20">
        <v>0.45114274370433943</v>
      </c>
      <c r="AL84" s="20">
        <v>0.45566383212026557</v>
      </c>
      <c r="AM84" s="20">
        <v>0.45989098761689678</v>
      </c>
      <c r="AN84" s="20">
        <v>0.4638421905138328</v>
      </c>
      <c r="AO84" s="20">
        <v>0.46750052247272078</v>
      </c>
      <c r="AP84" s="20">
        <v>0.47088299173383091</v>
      </c>
      <c r="AQ84" s="20">
        <v>0.47397551661338005</v>
      </c>
      <c r="AR84" s="20">
        <v>0.47679527061188465</v>
      </c>
      <c r="AS84" s="20">
        <v>0.47933047164580778</v>
      </c>
      <c r="AT84" s="20">
        <v>0.48159792201156248</v>
      </c>
      <c r="AU84" s="20">
        <v>0.48358674294117637</v>
      </c>
      <c r="AV84" s="20">
        <v>0.4853125580233465</v>
      </c>
      <c r="AW84" s="20">
        <v>0.48676437072930728</v>
      </c>
      <c r="AX84" s="20">
        <v>0.48795638198527969</v>
      </c>
      <c r="AY84" s="20">
        <v>0.48887713572038455</v>
      </c>
      <c r="AZ84" s="20">
        <v>0.48953968873492842</v>
      </c>
      <c r="BA84" s="20">
        <v>0.48993220204332144</v>
      </c>
      <c r="BB84" s="20">
        <v>0.49006706580684323</v>
      </c>
      <c r="DN84" s="12"/>
      <c r="DO84" s="12"/>
      <c r="DP84" s="12"/>
      <c r="DQ84" s="12"/>
      <c r="DR84" s="12"/>
      <c r="DS84" s="12"/>
      <c r="DT84" s="12"/>
      <c r="DU84" s="12"/>
      <c r="DV84" s="12"/>
      <c r="DW84" s="12"/>
      <c r="DX84" s="12"/>
      <c r="DY84" s="12"/>
      <c r="DZ84" s="12"/>
      <c r="EA84" s="12"/>
      <c r="EB84" s="12"/>
      <c r="EC84" s="12"/>
      <c r="ED84" s="12"/>
      <c r="EE84" s="12"/>
      <c r="EF84" s="12"/>
      <c r="EG84" s="12"/>
      <c r="EH84" s="12"/>
      <c r="EI84" s="12"/>
    </row>
    <row r="85" spans="1:139" ht="15" customHeight="1">
      <c r="A85" s="166">
        <v>28</v>
      </c>
      <c r="B85" s="20">
        <v>0.1</v>
      </c>
      <c r="C85" s="20">
        <v>0</v>
      </c>
      <c r="H85" s="23">
        <v>3.7500000000000006E-2</v>
      </c>
      <c r="I85" s="23">
        <v>3.7500000000000007E-3</v>
      </c>
      <c r="J85" s="19">
        <v>7411625249465664</v>
      </c>
      <c r="M85" s="133">
        <v>39</v>
      </c>
      <c r="N85" s="20">
        <v>8.0978096917489223E-2</v>
      </c>
      <c r="O85" s="20">
        <v>0.12511443780162496</v>
      </c>
      <c r="P85" s="20">
        <v>0.18600591012567652</v>
      </c>
      <c r="Q85" s="20">
        <v>0.22619135181813935</v>
      </c>
      <c r="R85" s="20">
        <v>0.25509658111031752</v>
      </c>
      <c r="S85" s="20">
        <v>0.27753308966737289</v>
      </c>
      <c r="T85" s="20">
        <v>0.2962243270134382</v>
      </c>
      <c r="U85" s="20">
        <v>0.31204116092768425</v>
      </c>
      <c r="V85" s="20">
        <v>0.32595551939402873</v>
      </c>
      <c r="W85" s="20">
        <v>0.33823537098322337</v>
      </c>
      <c r="X85" s="20">
        <v>0.34935967039244437</v>
      </c>
      <c r="Y85" s="20">
        <v>0.3594316575703525</v>
      </c>
      <c r="Z85" s="20">
        <v>0.368732721688803</v>
      </c>
      <c r="AA85" s="20">
        <v>0.37730503761904338</v>
      </c>
      <c r="AB85" s="20">
        <v>0.38533074548440716</v>
      </c>
      <c r="AC85" s="20">
        <v>0.39282230004810825</v>
      </c>
      <c r="AD85" s="20">
        <v>0.3999028344078554</v>
      </c>
      <c r="AE85" s="20">
        <v>0.40656667920924994</v>
      </c>
      <c r="AF85" s="20">
        <v>0.4128982451766644</v>
      </c>
      <c r="AG85" s="20">
        <v>0.41887999633732809</v>
      </c>
      <c r="AH85" s="20">
        <v>0.42457032749865159</v>
      </c>
      <c r="AI85" s="20">
        <v>0.42994462671128175</v>
      </c>
      <c r="AJ85" s="20">
        <v>0.43504435388274992</v>
      </c>
      <c r="AK85" s="20">
        <v>0.43984180173427401</v>
      </c>
      <c r="AL85" s="20">
        <v>0.444368242309433</v>
      </c>
      <c r="AM85" s="20">
        <v>0.44859609471436707</v>
      </c>
      <c r="AN85" s="20">
        <v>0.4525515273142523</v>
      </c>
      <c r="AO85" s="20">
        <v>0.45620955968657911</v>
      </c>
      <c r="AP85" s="20">
        <v>0.4595947614831391</v>
      </c>
      <c r="AQ85" s="20">
        <v>0.46268585933354484</v>
      </c>
      <c r="AR85" s="20">
        <v>0.46550713321907494</v>
      </c>
      <c r="AS85" s="20">
        <v>0.46804023235362174</v>
      </c>
      <c r="AT85" s="20">
        <v>0.47030862460129436</v>
      </c>
      <c r="AU85" s="20">
        <v>0.47229523283507363</v>
      </c>
      <c r="AV85" s="20">
        <v>0.47402193376327101</v>
      </c>
      <c r="AW85" s="20">
        <v>0.47547175248882101</v>
      </c>
      <c r="AX85" s="20">
        <v>0.47666482581219549</v>
      </c>
      <c r="AY85" s="20">
        <v>0.47758386685913845</v>
      </c>
      <c r="AZ85" s="20">
        <v>0.47824767130543605</v>
      </c>
      <c r="BA85" s="20">
        <v>0.47863867428890827</v>
      </c>
      <c r="BB85" s="20">
        <v>0.47877492139139061</v>
      </c>
      <c r="DN85" s="12"/>
      <c r="DO85" s="12"/>
      <c r="DP85" s="12"/>
      <c r="DQ85" s="12"/>
      <c r="DR85" s="12"/>
      <c r="DS85" s="12"/>
      <c r="DT85" s="12"/>
      <c r="DU85" s="12"/>
      <c r="DV85" s="12"/>
      <c r="DW85" s="12"/>
      <c r="DX85" s="12"/>
      <c r="DY85" s="12"/>
      <c r="DZ85" s="12"/>
      <c r="EA85" s="12"/>
      <c r="EB85" s="12"/>
      <c r="EC85" s="12"/>
      <c r="ED85" s="12"/>
      <c r="EE85" s="12"/>
      <c r="EF85" s="12"/>
      <c r="EG85" s="12"/>
      <c r="EH85" s="12"/>
      <c r="EI85" s="12"/>
    </row>
    <row r="86" spans="1:139" ht="15" customHeight="1">
      <c r="A86" s="166">
        <v>29</v>
      </c>
      <c r="B86" s="20">
        <v>0.1</v>
      </c>
      <c r="C86" s="20">
        <v>0</v>
      </c>
      <c r="H86" s="23">
        <v>3.7500000000000006E-2</v>
      </c>
      <c r="I86" s="23">
        <v>7.5000000000000015E-3</v>
      </c>
      <c r="J86" s="19">
        <v>7409277925273728</v>
      </c>
      <c r="M86" s="133">
        <v>40</v>
      </c>
      <c r="N86" s="20">
        <v>4.3473041758809998E-2</v>
      </c>
      <c r="O86" s="20">
        <v>0.101908684804562</v>
      </c>
      <c r="P86" s="20">
        <v>0.17242990285436649</v>
      </c>
      <c r="Q86" s="20">
        <v>0.21405972725479894</v>
      </c>
      <c r="R86" s="20">
        <v>0.24345164676076528</v>
      </c>
      <c r="S86" s="20">
        <v>0.26606392009184082</v>
      </c>
      <c r="T86" s="20">
        <v>0.28490760389420827</v>
      </c>
      <c r="U86" s="20">
        <v>0.30077954574484628</v>
      </c>
      <c r="V86" s="20">
        <v>0.31476066193826308</v>
      </c>
      <c r="W86" s="20">
        <v>0.32705838337421911</v>
      </c>
      <c r="X86" s="20">
        <v>0.33821314985832712</v>
      </c>
      <c r="Y86" s="20">
        <v>0.34828638232745612</v>
      </c>
      <c r="Z86" s="20">
        <v>0.35760017535545308</v>
      </c>
      <c r="AA86" s="20">
        <v>0.36616668580422268</v>
      </c>
      <c r="AB86" s="20">
        <v>0.37419735413139621</v>
      </c>
      <c r="AC86" s="20">
        <v>0.38168179492130955</v>
      </c>
      <c r="AD86" s="20">
        <v>0.3887652622560579</v>
      </c>
      <c r="AE86" s="20">
        <v>0.39542374564657079</v>
      </c>
      <c r="AF86" s="20">
        <v>0.40175894667894818</v>
      </c>
      <c r="AG86" s="20">
        <v>0.4077380134609459</v>
      </c>
      <c r="AH86" s="20">
        <v>0.41343332195093946</v>
      </c>
      <c r="AI86" s="20">
        <v>0.41880715104869193</v>
      </c>
      <c r="AJ86" s="20">
        <v>0.42391266386067333</v>
      </c>
      <c r="AK86" s="20">
        <v>0.42871074376332724</v>
      </c>
      <c r="AL86" s="20">
        <v>0.43324278391533594</v>
      </c>
      <c r="AM86" s="20">
        <v>0.43747114454787994</v>
      </c>
      <c r="AN86" s="20">
        <v>0.44143103728837302</v>
      </c>
      <c r="AO86" s="20">
        <v>0.44508856082298581</v>
      </c>
      <c r="AP86" s="20">
        <v>0.44847664192157394</v>
      </c>
      <c r="AQ86" s="20">
        <v>0.45156605000413375</v>
      </c>
      <c r="AR86" s="20">
        <v>0.45438892246464679</v>
      </c>
      <c r="AS86" s="20">
        <v>0.45691964093393511</v>
      </c>
      <c r="AT86" s="20">
        <v>0.45918903980360526</v>
      </c>
      <c r="AU86" s="20">
        <v>0.46117318419994718</v>
      </c>
      <c r="AV86" s="20">
        <v>0.46290085842127943</v>
      </c>
      <c r="AW86" s="20">
        <v>0.46434847489380898</v>
      </c>
      <c r="AX86" s="20">
        <v>0.46554272810961089</v>
      </c>
      <c r="AY86" s="20">
        <v>0.46645988282875467</v>
      </c>
      <c r="AZ86" s="20">
        <v>0.46712507758828464</v>
      </c>
      <c r="BA86" s="20">
        <v>0.46751441467623717</v>
      </c>
      <c r="BB86" s="20">
        <v>0.46765219328061874</v>
      </c>
      <c r="DN86" s="12"/>
      <c r="DO86" s="12"/>
      <c r="DP86" s="12"/>
      <c r="DQ86" s="12"/>
      <c r="DR86" s="12"/>
      <c r="DS86" s="12"/>
      <c r="DT86" s="12"/>
      <c r="DU86" s="12"/>
      <c r="DV86" s="12"/>
      <c r="DW86" s="12"/>
      <c r="DX86" s="12"/>
      <c r="DY86" s="12"/>
      <c r="DZ86" s="12"/>
      <c r="EA86" s="12"/>
      <c r="EB86" s="12"/>
      <c r="EC86" s="12"/>
      <c r="ED86" s="12"/>
      <c r="EE86" s="12"/>
      <c r="EF86" s="12"/>
      <c r="EG86" s="12"/>
      <c r="EH86" s="12"/>
      <c r="EI86" s="12"/>
    </row>
    <row r="87" spans="1:139" ht="15" customHeight="1">
      <c r="A87" s="166">
        <v>30</v>
      </c>
      <c r="B87" s="20">
        <v>0.1</v>
      </c>
      <c r="C87" s="20">
        <v>0</v>
      </c>
      <c r="H87" s="23">
        <v>3.7500000000000006E-2</v>
      </c>
      <c r="I87" s="23">
        <v>1.1250000000000001E-2</v>
      </c>
      <c r="J87" s="19">
        <v>7406567177065672</v>
      </c>
      <c r="M87" s="133">
        <v>41</v>
      </c>
      <c r="N87" s="20">
        <v>0</v>
      </c>
      <c r="O87" s="20">
        <v>7.9065904657054278E-2</v>
      </c>
      <c r="P87" s="20">
        <v>0.160219383215289</v>
      </c>
      <c r="Q87" s="20">
        <v>0.20254264413783712</v>
      </c>
      <c r="R87" s="20">
        <v>0.2321913180962745</v>
      </c>
      <c r="S87" s="20">
        <v>0.25490522069580696</v>
      </c>
      <c r="T87" s="20">
        <v>0.27384093075543792</v>
      </c>
      <c r="U87" s="20">
        <v>0.28974885206220458</v>
      </c>
      <c r="V87" s="20">
        <v>0.3037707611152215</v>
      </c>
      <c r="W87" s="20">
        <v>0.31607945791740921</v>
      </c>
      <c r="X87" s="20">
        <v>0.32725056852856382</v>
      </c>
      <c r="Y87" s="20">
        <v>0.33732214228194712</v>
      </c>
      <c r="Z87" s="20">
        <v>0.34663989576947013</v>
      </c>
      <c r="AA87" s="20">
        <v>0.35519941683796918</v>
      </c>
      <c r="AB87" s="20">
        <v>0.36322923671725099</v>
      </c>
      <c r="AC87" s="20">
        <v>0.37070634685031395</v>
      </c>
      <c r="AD87" s="20">
        <v>0.37778881668107561</v>
      </c>
      <c r="AE87" s="20">
        <v>0.38444235293787143</v>
      </c>
      <c r="AF87" s="20">
        <v>0.39077851921463008</v>
      </c>
      <c r="AG87" s="20">
        <v>0.39675571872808874</v>
      </c>
      <c r="AH87" s="20">
        <v>0.40245416979500392</v>
      </c>
      <c r="AI87" s="20">
        <v>0.40782856093691439</v>
      </c>
      <c r="AJ87" s="20">
        <v>0.41293854578281958</v>
      </c>
      <c r="AK87" s="20">
        <v>0.41773835226204448</v>
      </c>
      <c r="AL87" s="20">
        <v>0.42227496515643526</v>
      </c>
      <c r="AM87" s="20">
        <v>0.42650486810991756</v>
      </c>
      <c r="AN87" s="20">
        <v>0.43046830469198227</v>
      </c>
      <c r="AO87" s="20">
        <v>0.43412620927314066</v>
      </c>
      <c r="AP87" s="20">
        <v>0.43751626269608263</v>
      </c>
      <c r="AQ87" s="20">
        <v>0.44060472235056547</v>
      </c>
      <c r="AR87" s="20">
        <v>0.44342829076066098</v>
      </c>
      <c r="AS87" s="20">
        <v>0.44595728662901751</v>
      </c>
      <c r="AT87" s="20">
        <v>0.448226834490704</v>
      </c>
      <c r="AU87" s="20">
        <v>0.45020915442198728</v>
      </c>
      <c r="AV87" s="20">
        <v>0.45193701252318835</v>
      </c>
      <c r="AW87" s="20">
        <v>0.45338307643116749</v>
      </c>
      <c r="AX87" s="20">
        <v>0.45457778247255975</v>
      </c>
      <c r="AY87" s="20">
        <v>0.45549371279594564</v>
      </c>
      <c r="AZ87" s="20">
        <v>0.45615961100696667</v>
      </c>
      <c r="BA87" s="20">
        <v>0.45654794891976674</v>
      </c>
      <c r="BB87" s="20">
        <v>0.45668658853702887</v>
      </c>
      <c r="DN87" s="12"/>
      <c r="DO87" s="12"/>
      <c r="DP87" s="12"/>
      <c r="DQ87" s="12"/>
      <c r="DR87" s="12"/>
      <c r="DS87" s="12"/>
      <c r="DT87" s="12"/>
      <c r="DU87" s="12"/>
      <c r="DV87" s="12"/>
      <c r="DW87" s="12"/>
      <c r="DX87" s="12"/>
      <c r="DY87" s="12"/>
      <c r="DZ87" s="12"/>
      <c r="EA87" s="12"/>
      <c r="EB87" s="12"/>
      <c r="EC87" s="12"/>
      <c r="ED87" s="12"/>
      <c r="EE87" s="12"/>
      <c r="EF87" s="12"/>
      <c r="EG87" s="12"/>
      <c r="EH87" s="12"/>
      <c r="EI87" s="12"/>
    </row>
    <row r="88" spans="1:139" ht="15" customHeight="1">
      <c r="A88" s="166">
        <v>31</v>
      </c>
      <c r="B88" s="20">
        <v>0.1</v>
      </c>
      <c r="C88" s="20">
        <v>0</v>
      </c>
      <c r="H88" s="23">
        <v>3.7500000000000006E-2</v>
      </c>
      <c r="I88" s="23">
        <v>1.5000000000000003E-2</v>
      </c>
      <c r="J88" s="19">
        <v>7403651579201400</v>
      </c>
      <c r="DN88" s="12"/>
      <c r="DO88" s="12"/>
      <c r="DP88" s="12"/>
      <c r="DQ88" s="12"/>
      <c r="DR88" s="12"/>
      <c r="DS88" s="12"/>
      <c r="DT88" s="12"/>
      <c r="DU88" s="12"/>
      <c r="DV88" s="12"/>
      <c r="DW88" s="12"/>
      <c r="DX88" s="12"/>
      <c r="DY88" s="12"/>
      <c r="DZ88" s="12"/>
      <c r="EA88" s="12"/>
      <c r="EB88" s="12"/>
      <c r="EC88" s="12"/>
      <c r="ED88" s="12"/>
      <c r="EE88" s="12"/>
      <c r="EF88" s="12"/>
      <c r="EG88" s="12"/>
      <c r="EH88" s="12"/>
      <c r="EI88" s="12"/>
    </row>
    <row r="89" spans="1:139" ht="15" customHeight="1">
      <c r="A89" s="166">
        <v>32</v>
      </c>
      <c r="B89" s="20">
        <v>0.1</v>
      </c>
      <c r="C89" s="20">
        <v>0</v>
      </c>
      <c r="H89" s="23">
        <v>3.7500000000000006E-2</v>
      </c>
      <c r="I89" s="23">
        <v>1.8750000000000003E-2</v>
      </c>
      <c r="J89" s="19">
        <v>7400740917212840</v>
      </c>
      <c r="DN89" s="12"/>
      <c r="DO89" s="12"/>
      <c r="DP89" s="12"/>
      <c r="DQ89" s="12"/>
      <c r="DR89" s="12"/>
      <c r="DS89" s="12"/>
      <c r="DT89" s="12"/>
      <c r="DU89" s="12"/>
      <c r="DV89" s="12"/>
      <c r="DW89" s="12"/>
      <c r="DX89" s="12"/>
      <c r="DY89" s="12"/>
      <c r="DZ89" s="12"/>
      <c r="EA89" s="12"/>
      <c r="EB89" s="12"/>
      <c r="EC89" s="12"/>
      <c r="ED89" s="12"/>
      <c r="EE89" s="12"/>
      <c r="EF89" s="12"/>
      <c r="EG89" s="12"/>
      <c r="EH89" s="12"/>
      <c r="EI89" s="12"/>
    </row>
    <row r="90" spans="1:139" ht="15" customHeight="1">
      <c r="A90" s="166">
        <v>33</v>
      </c>
      <c r="B90" s="20">
        <v>0.1</v>
      </c>
      <c r="C90" s="20">
        <v>0</v>
      </c>
      <c r="H90" s="23">
        <v>3.7500000000000006E-2</v>
      </c>
      <c r="I90" s="23">
        <v>2.2500000000000003E-2</v>
      </c>
      <c r="J90" s="19">
        <v>7397816359168968</v>
      </c>
      <c r="DN90" s="12"/>
      <c r="DO90" s="12"/>
      <c r="DP90" s="12"/>
      <c r="DQ90" s="12"/>
      <c r="DR90" s="12"/>
      <c r="DS90" s="12"/>
      <c r="DT90" s="12"/>
      <c r="DU90" s="12"/>
      <c r="DV90" s="12"/>
      <c r="DW90" s="12"/>
      <c r="DX90" s="12"/>
      <c r="DY90" s="12"/>
      <c r="DZ90" s="12"/>
      <c r="EA90" s="12"/>
      <c r="EB90" s="12"/>
      <c r="EC90" s="12"/>
      <c r="ED90" s="12"/>
      <c r="EE90" s="12"/>
      <c r="EF90" s="12"/>
      <c r="EG90" s="12"/>
      <c r="EH90" s="12"/>
      <c r="EI90" s="12"/>
    </row>
    <row r="91" spans="1:139" ht="15" customHeight="1">
      <c r="A91" s="166">
        <v>34</v>
      </c>
      <c r="B91" s="20">
        <v>0.1</v>
      </c>
      <c r="C91" s="20">
        <v>0</v>
      </c>
      <c r="H91" s="23">
        <v>3.7500000000000006E-2</v>
      </c>
      <c r="I91" s="23">
        <v>2.6250000000000002E-2</v>
      </c>
      <c r="J91" s="19">
        <v>7394922730497288</v>
      </c>
      <c r="DN91" s="12"/>
      <c r="DO91" s="12"/>
      <c r="DP91" s="12"/>
      <c r="DQ91" s="12"/>
      <c r="DR91" s="12"/>
      <c r="DS91" s="12"/>
      <c r="DT91" s="12"/>
      <c r="DU91" s="12"/>
      <c r="DV91" s="12"/>
      <c r="DW91" s="12"/>
      <c r="DX91" s="12"/>
      <c r="DY91" s="12"/>
      <c r="DZ91" s="12"/>
      <c r="EA91" s="12"/>
      <c r="EB91" s="12"/>
      <c r="EC91" s="12"/>
      <c r="ED91" s="12"/>
      <c r="EE91" s="12"/>
      <c r="EF91" s="12"/>
      <c r="EG91" s="12"/>
      <c r="EH91" s="12"/>
      <c r="EI91" s="12"/>
    </row>
    <row r="92" spans="1:139" ht="15" customHeight="1">
      <c r="A92" s="166">
        <v>35</v>
      </c>
      <c r="B92" s="20">
        <v>0.1</v>
      </c>
      <c r="C92" s="20">
        <v>0</v>
      </c>
      <c r="H92" s="23">
        <v>3.7500000000000006E-2</v>
      </c>
      <c r="I92" s="23">
        <v>3.0000000000000006E-2</v>
      </c>
      <c r="J92" s="19">
        <v>7392029779056176</v>
      </c>
      <c r="DN92" s="12"/>
      <c r="DO92" s="12"/>
      <c r="DP92" s="12"/>
      <c r="DQ92" s="12"/>
      <c r="DR92" s="12"/>
      <c r="DS92" s="12"/>
      <c r="DT92" s="12"/>
      <c r="DU92" s="12"/>
      <c r="DV92" s="12"/>
      <c r="DW92" s="12"/>
      <c r="DX92" s="12"/>
      <c r="DY92" s="12"/>
      <c r="DZ92" s="12"/>
      <c r="EA92" s="12"/>
      <c r="EB92" s="12"/>
      <c r="EC92" s="12"/>
      <c r="ED92" s="12"/>
      <c r="EE92" s="12"/>
      <c r="EF92" s="12"/>
      <c r="EG92" s="12"/>
      <c r="EH92" s="12"/>
      <c r="EI92" s="12"/>
    </row>
    <row r="93" spans="1:139" ht="15" customHeight="1">
      <c r="A93" s="166">
        <v>36</v>
      </c>
      <c r="B93" s="20">
        <v>0.1</v>
      </c>
      <c r="C93" s="20">
        <v>0</v>
      </c>
      <c r="H93" s="23">
        <v>3.7500000000000006E-2</v>
      </c>
      <c r="I93" s="23">
        <v>3.3750000000000002E-2</v>
      </c>
      <c r="J93" s="19">
        <v>7389159231124248</v>
      </c>
      <c r="DN93" s="12"/>
      <c r="DO93" s="12"/>
      <c r="DP93" s="12"/>
      <c r="DQ93" s="12"/>
      <c r="DR93" s="12"/>
      <c r="DS93" s="12"/>
      <c r="DT93" s="12"/>
      <c r="DU93" s="12"/>
      <c r="DV93" s="12"/>
      <c r="DW93" s="12"/>
      <c r="DX93" s="12"/>
      <c r="DY93" s="12"/>
      <c r="DZ93" s="12"/>
      <c r="EA93" s="12"/>
      <c r="EB93" s="12"/>
      <c r="EC93" s="12"/>
      <c r="ED93" s="12"/>
      <c r="EE93" s="12"/>
      <c r="EF93" s="12"/>
      <c r="EG93" s="12"/>
      <c r="EH93" s="12"/>
      <c r="EI93" s="12"/>
    </row>
    <row r="94" spans="1:139" ht="15" customHeight="1">
      <c r="A94" s="166">
        <v>37</v>
      </c>
      <c r="B94" s="20">
        <v>0.1</v>
      </c>
      <c r="C94" s="20">
        <v>0</v>
      </c>
      <c r="H94" s="23">
        <v>3.7500000000000006E-2</v>
      </c>
      <c r="I94" s="23">
        <v>3.7500000000000006E-2</v>
      </c>
      <c r="J94" s="19">
        <v>7386293203233216</v>
      </c>
      <c r="DN94" s="12"/>
      <c r="DO94" s="12"/>
      <c r="DP94" s="12"/>
      <c r="DQ94" s="12"/>
      <c r="DR94" s="12"/>
      <c r="DS94" s="12"/>
      <c r="DT94" s="12"/>
      <c r="DU94" s="12"/>
      <c r="DV94" s="12"/>
      <c r="DW94" s="12"/>
      <c r="DX94" s="12"/>
      <c r="DY94" s="12"/>
      <c r="DZ94" s="12"/>
      <c r="EA94" s="12"/>
      <c r="EB94" s="12"/>
      <c r="EC94" s="12"/>
      <c r="ED94" s="12"/>
      <c r="EE94" s="12"/>
      <c r="EF94" s="12"/>
      <c r="EG94" s="12"/>
      <c r="EH94" s="12"/>
      <c r="EI94" s="12"/>
    </row>
    <row r="95" spans="1:139" ht="15" customHeight="1">
      <c r="A95" s="166">
        <v>38</v>
      </c>
      <c r="B95" s="20">
        <v>0.1</v>
      </c>
      <c r="C95" s="20">
        <v>0</v>
      </c>
      <c r="H95" s="23">
        <v>3.7500000000000006E-2</v>
      </c>
      <c r="I95" s="23">
        <v>4.1250000000000009E-2</v>
      </c>
      <c r="J95" s="19">
        <v>7383445121958864</v>
      </c>
      <c r="DN95" s="12"/>
      <c r="DO95" s="12"/>
      <c r="DP95" s="12"/>
      <c r="DQ95" s="12"/>
      <c r="DR95" s="12"/>
      <c r="DS95" s="12"/>
      <c r="DT95" s="12"/>
      <c r="DU95" s="12"/>
      <c r="DV95" s="12"/>
      <c r="DW95" s="12"/>
      <c r="DX95" s="12"/>
      <c r="DY95" s="12"/>
      <c r="DZ95" s="12"/>
      <c r="EA95" s="12"/>
      <c r="EB95" s="12"/>
      <c r="EC95" s="12"/>
      <c r="ED95" s="12"/>
      <c r="EE95" s="12"/>
      <c r="EF95" s="12"/>
      <c r="EG95" s="12"/>
      <c r="EH95" s="12"/>
      <c r="EI95" s="12"/>
    </row>
    <row r="96" spans="1:139" ht="15" customHeight="1">
      <c r="A96" s="166">
        <v>39</v>
      </c>
      <c r="B96" s="20">
        <v>0.1</v>
      </c>
      <c r="C96" s="20">
        <v>0</v>
      </c>
      <c r="H96" s="23">
        <v>3.7500000000000006E-2</v>
      </c>
      <c r="I96" s="23">
        <v>4.5000000000000005E-2</v>
      </c>
      <c r="J96" s="19">
        <v>7380602865081608</v>
      </c>
      <c r="DN96" s="12"/>
      <c r="DO96" s="12"/>
      <c r="DP96" s="12"/>
      <c r="DQ96" s="12"/>
      <c r="DR96" s="12"/>
      <c r="DS96" s="12"/>
      <c r="DT96" s="12"/>
      <c r="DU96" s="12"/>
      <c r="DV96" s="12"/>
      <c r="DW96" s="12"/>
      <c r="DX96" s="12"/>
      <c r="DY96" s="12"/>
      <c r="DZ96" s="12"/>
      <c r="EA96" s="12"/>
      <c r="EB96" s="12"/>
      <c r="EC96" s="12"/>
      <c r="ED96" s="12"/>
      <c r="EE96" s="12"/>
      <c r="EF96" s="12"/>
      <c r="EG96" s="12"/>
      <c r="EH96" s="12"/>
      <c r="EI96" s="12"/>
    </row>
    <row r="97" spans="1:139" ht="15" customHeight="1">
      <c r="A97" s="166">
        <v>40</v>
      </c>
      <c r="B97" s="20">
        <v>0.1</v>
      </c>
      <c r="C97" s="20">
        <v>0</v>
      </c>
      <c r="H97" s="23">
        <v>3.7500000000000006E-2</v>
      </c>
      <c r="I97" s="23">
        <v>4.8750000000000009E-2</v>
      </c>
      <c r="J97" s="19">
        <v>7377775543441976</v>
      </c>
      <c r="DN97" s="12"/>
      <c r="DO97" s="12"/>
      <c r="DP97" s="12"/>
      <c r="DQ97" s="12"/>
      <c r="DR97" s="12"/>
      <c r="DS97" s="12"/>
      <c r="DT97" s="12"/>
      <c r="DU97" s="12"/>
      <c r="DV97" s="12"/>
      <c r="DW97" s="12"/>
      <c r="DX97" s="12"/>
      <c r="DY97" s="12"/>
      <c r="DZ97" s="12"/>
      <c r="EA97" s="12"/>
      <c r="EB97" s="12"/>
      <c r="EC97" s="12"/>
      <c r="ED97" s="12"/>
      <c r="EE97" s="12"/>
      <c r="EF97" s="12"/>
      <c r="EG97" s="12"/>
      <c r="EH97" s="12"/>
      <c r="EI97" s="12"/>
    </row>
    <row r="98" spans="1:139" ht="15" customHeight="1">
      <c r="A98" s="166">
        <v>41</v>
      </c>
      <c r="B98" s="20">
        <v>0.1</v>
      </c>
      <c r="C98" s="20">
        <v>0</v>
      </c>
      <c r="H98" s="23">
        <v>3.7500000000000006E-2</v>
      </c>
      <c r="I98" s="23">
        <v>5.2500000000000005E-2</v>
      </c>
      <c r="J98" s="19">
        <v>7374954200718904</v>
      </c>
      <c r="DN98" s="12"/>
      <c r="DO98" s="12"/>
      <c r="DP98" s="12"/>
      <c r="DQ98" s="12"/>
      <c r="DR98" s="12"/>
      <c r="DS98" s="12"/>
      <c r="DT98" s="12"/>
      <c r="DU98" s="12"/>
      <c r="DV98" s="12"/>
      <c r="DW98" s="12"/>
      <c r="DX98" s="12"/>
      <c r="DY98" s="12"/>
      <c r="DZ98" s="12"/>
      <c r="EA98" s="12"/>
      <c r="EB98" s="12"/>
      <c r="EC98" s="12"/>
      <c r="ED98" s="12"/>
      <c r="EE98" s="12"/>
      <c r="EF98" s="12"/>
      <c r="EG98" s="12"/>
      <c r="EH98" s="12"/>
      <c r="EI98" s="12"/>
    </row>
    <row r="99" spans="1:139" ht="15" customHeight="1">
      <c r="H99" s="23">
        <v>3.7500000000000006E-2</v>
      </c>
      <c r="I99" s="23">
        <v>5.6250000000000008E-2</v>
      </c>
      <c r="J99" s="19">
        <v>7372145402321112</v>
      </c>
      <c r="DN99" s="12"/>
      <c r="DO99" s="12"/>
      <c r="DP99" s="12"/>
      <c r="DQ99" s="12"/>
      <c r="DR99" s="12"/>
      <c r="DS99" s="12"/>
      <c r="DT99" s="12"/>
      <c r="DU99" s="12"/>
      <c r="DV99" s="12"/>
      <c r="DW99" s="12"/>
      <c r="DX99" s="12"/>
      <c r="DY99" s="12"/>
      <c r="DZ99" s="12"/>
      <c r="EA99" s="12"/>
      <c r="EB99" s="12"/>
      <c r="EC99" s="12"/>
      <c r="ED99" s="12"/>
      <c r="EE99" s="12"/>
      <c r="EF99" s="12"/>
      <c r="EG99" s="12"/>
      <c r="EH99" s="12"/>
      <c r="EI99" s="12"/>
    </row>
    <row r="100" spans="1:139" ht="15" customHeight="1">
      <c r="H100" s="23">
        <v>3.7500000000000006E-2</v>
      </c>
      <c r="I100" s="23">
        <v>6.0000000000000012E-2</v>
      </c>
      <c r="J100" s="19">
        <v>7369342109993952</v>
      </c>
      <c r="DN100" s="12"/>
      <c r="DO100" s="12"/>
      <c r="DP100" s="12"/>
      <c r="DQ100" s="12"/>
      <c r="DR100" s="12"/>
      <c r="DS100" s="12"/>
      <c r="DT100" s="12"/>
      <c r="DU100" s="12"/>
      <c r="DV100" s="12"/>
      <c r="DW100" s="12"/>
      <c r="DX100" s="12"/>
      <c r="DY100" s="12"/>
      <c r="DZ100" s="12"/>
      <c r="EA100" s="12"/>
      <c r="EB100" s="12"/>
      <c r="EC100" s="12"/>
      <c r="ED100" s="12"/>
      <c r="EE100" s="12"/>
      <c r="EF100" s="12"/>
      <c r="EG100" s="12"/>
      <c r="EH100" s="12"/>
      <c r="EI100" s="12"/>
    </row>
    <row r="101" spans="1:139" ht="15" customHeight="1">
      <c r="H101" s="23">
        <v>3.7500000000000006E-2</v>
      </c>
      <c r="I101" s="23">
        <v>6.3750000000000015E-2</v>
      </c>
      <c r="J101" s="19">
        <v>7366549263227336</v>
      </c>
      <c r="DN101" s="12"/>
      <c r="DO101" s="12"/>
      <c r="DP101" s="12"/>
      <c r="DQ101" s="12"/>
      <c r="DR101" s="12"/>
      <c r="DS101" s="12"/>
      <c r="DT101" s="12"/>
      <c r="DU101" s="12"/>
      <c r="DV101" s="12"/>
      <c r="DW101" s="12"/>
      <c r="DX101" s="12"/>
      <c r="DY101" s="12"/>
      <c r="DZ101" s="12"/>
      <c r="EA101" s="12"/>
      <c r="EB101" s="12"/>
      <c r="EC101" s="12"/>
      <c r="ED101" s="12"/>
      <c r="EE101" s="12"/>
      <c r="EF101" s="12"/>
      <c r="EG101" s="12"/>
      <c r="EH101" s="12"/>
      <c r="EI101" s="12"/>
    </row>
    <row r="102" spans="1:139" ht="15" customHeight="1">
      <c r="H102" s="23">
        <v>3.7500000000000006E-2</v>
      </c>
      <c r="I102" s="23">
        <v>6.7500000000000004E-2</v>
      </c>
      <c r="J102" s="19">
        <v>7363761075363416</v>
      </c>
      <c r="DN102" s="12"/>
      <c r="DO102" s="12"/>
      <c r="DP102" s="12"/>
      <c r="DQ102" s="12"/>
      <c r="DR102" s="12"/>
      <c r="DS102" s="12"/>
      <c r="DT102" s="12"/>
      <c r="DU102" s="12"/>
      <c r="DV102" s="12"/>
      <c r="DW102" s="12"/>
      <c r="DX102" s="12"/>
      <c r="DY102" s="12"/>
      <c r="DZ102" s="12"/>
      <c r="EA102" s="12"/>
      <c r="EB102" s="12"/>
      <c r="EC102" s="12"/>
      <c r="ED102" s="12"/>
      <c r="EE102" s="12"/>
      <c r="EF102" s="12"/>
      <c r="EG102" s="12"/>
      <c r="EH102" s="12"/>
      <c r="EI102" s="12"/>
    </row>
    <row r="103" spans="1:139" ht="15" customHeight="1">
      <c r="H103" s="23">
        <v>3.7500000000000006E-2</v>
      </c>
      <c r="I103" s="23">
        <v>7.1250000000000008E-2</v>
      </c>
      <c r="J103" s="19">
        <v>7360981400131488</v>
      </c>
    </row>
    <row r="104" spans="1:139" ht="15" customHeight="1">
      <c r="H104" s="23">
        <v>3.7500000000000006E-2</v>
      </c>
      <c r="I104" s="23">
        <v>7.5000000000000011E-2</v>
      </c>
      <c r="J104" s="19">
        <v>7358205332634144</v>
      </c>
    </row>
    <row r="105" spans="1:139" ht="15" customHeight="1">
      <c r="H105" s="23">
        <v>3.7500000000000006E-2</v>
      </c>
      <c r="I105" s="23">
        <v>7.8750000000000014E-2</v>
      </c>
      <c r="J105" s="19">
        <v>7355436005160664</v>
      </c>
    </row>
    <row r="106" spans="1:139" ht="15" customHeight="1">
      <c r="H106" s="23">
        <v>3.7500000000000006E-2</v>
      </c>
      <c r="I106" s="23">
        <v>8.2500000000000018E-2</v>
      </c>
      <c r="J106" s="19">
        <v>7352669207554296</v>
      </c>
    </row>
    <row r="107" spans="1:139" ht="15" customHeight="1">
      <c r="H107" s="23">
        <v>3.7500000000000006E-2</v>
      </c>
      <c r="I107" s="23">
        <v>8.6250000000000007E-2</v>
      </c>
      <c r="J107" s="19">
        <v>7349907649530320</v>
      </c>
    </row>
    <row r="108" spans="1:139" ht="15" customHeight="1">
      <c r="H108" s="23">
        <v>3.7500000000000006E-2</v>
      </c>
      <c r="I108" s="23">
        <v>9.0000000000000011E-2</v>
      </c>
      <c r="J108" s="19">
        <v>7347147776125656</v>
      </c>
    </row>
    <row r="109" spans="1:139" ht="15" customHeight="1">
      <c r="H109" s="23">
        <v>3.7500000000000006E-2</v>
      </c>
      <c r="I109" s="23">
        <v>9.3750000000000014E-2</v>
      </c>
      <c r="J109" s="19">
        <v>7344392191083912</v>
      </c>
    </row>
    <row r="110" spans="1:139" ht="15" customHeight="1">
      <c r="H110" s="23">
        <v>3.7500000000000006E-2</v>
      </c>
      <c r="I110" s="23">
        <v>9.7500000000000017E-2</v>
      </c>
      <c r="J110" s="19">
        <v>7341638119151088</v>
      </c>
    </row>
    <row r="111" spans="1:139" ht="15" customHeight="1">
      <c r="H111" s="23">
        <v>3.7500000000000006E-2</v>
      </c>
      <c r="I111" s="23">
        <v>0.10125000000000002</v>
      </c>
      <c r="J111" s="19">
        <v>7338888484409912</v>
      </c>
    </row>
    <row r="112" spans="1:139" ht="15" customHeight="1">
      <c r="H112" s="23">
        <v>3.7500000000000006E-2</v>
      </c>
      <c r="I112" s="23">
        <v>0.10500000000000001</v>
      </c>
      <c r="J112" s="19">
        <v>7336141649869696</v>
      </c>
    </row>
    <row r="113" spans="8:10" ht="15" customHeight="1">
      <c r="H113" s="23">
        <v>3.7500000000000006E-2</v>
      </c>
      <c r="I113" s="23">
        <v>0.10875000000000001</v>
      </c>
      <c r="J113" s="19">
        <v>7333401527966688</v>
      </c>
    </row>
    <row r="114" spans="8:10" ht="15" customHeight="1">
      <c r="H114" s="23">
        <v>3.7500000000000006E-2</v>
      </c>
      <c r="I114" s="23">
        <v>0.11250000000000002</v>
      </c>
      <c r="J114" s="19">
        <v>7330668354887736</v>
      </c>
    </row>
    <row r="115" spans="8:10" ht="15" customHeight="1">
      <c r="H115" s="23">
        <v>3.7500000000000006E-2</v>
      </c>
      <c r="I115" s="23">
        <v>0.11625000000000002</v>
      </c>
      <c r="J115" s="19">
        <v>7327948147988264</v>
      </c>
    </row>
    <row r="116" spans="8:10" ht="15" customHeight="1">
      <c r="H116" s="23">
        <v>3.7500000000000006E-2</v>
      </c>
      <c r="I116" s="23">
        <v>0.12000000000000002</v>
      </c>
      <c r="J116" s="19">
        <v>7325244370287656</v>
      </c>
    </row>
    <row r="117" spans="8:10" ht="15" customHeight="1">
      <c r="H117" s="23">
        <v>3.7500000000000006E-2</v>
      </c>
      <c r="I117" s="23">
        <v>0.12375000000000001</v>
      </c>
      <c r="J117" s="19">
        <v>7322567017849512</v>
      </c>
    </row>
    <row r="118" spans="8:10" ht="15" customHeight="1">
      <c r="H118" s="23">
        <v>3.7500000000000006E-2</v>
      </c>
      <c r="I118" s="23">
        <v>0.12750000000000003</v>
      </c>
      <c r="J118" s="19">
        <v>7319925094083264</v>
      </c>
    </row>
    <row r="119" spans="8:10" ht="15" customHeight="1">
      <c r="H119" s="23">
        <v>3.7500000000000006E-2</v>
      </c>
      <c r="I119" s="23">
        <v>0.13125000000000003</v>
      </c>
      <c r="J119" s="19">
        <v>7317335557016560</v>
      </c>
    </row>
    <row r="120" spans="8:10" ht="15" customHeight="1">
      <c r="H120" s="23">
        <v>3.7500000000000006E-2</v>
      </c>
      <c r="I120" s="23">
        <v>0.13500000000000001</v>
      </c>
      <c r="J120" s="19">
        <v>7314816471613104</v>
      </c>
    </row>
    <row r="121" spans="8:10" ht="15" customHeight="1">
      <c r="H121" s="23">
        <v>3.7500000000000006E-2</v>
      </c>
      <c r="I121" s="23">
        <v>0.13875000000000001</v>
      </c>
      <c r="J121" s="19">
        <v>7312395785883656</v>
      </c>
    </row>
    <row r="122" spans="8:10" ht="15" customHeight="1">
      <c r="H122" s="23">
        <v>3.7500000000000006E-2</v>
      </c>
      <c r="I122" s="23">
        <v>0.14250000000000002</v>
      </c>
      <c r="J122" s="19">
        <v>7310104515047792</v>
      </c>
    </row>
    <row r="123" spans="8:10" ht="15" customHeight="1">
      <c r="H123" s="23">
        <v>3.7500000000000006E-2</v>
      </c>
      <c r="I123" s="23">
        <v>0.14625000000000002</v>
      </c>
      <c r="J123" s="19">
        <v>7307984170961160</v>
      </c>
    </row>
    <row r="124" spans="8:10" ht="15" customHeight="1">
      <c r="H124" s="23">
        <v>3.7500000000000006E-2</v>
      </c>
      <c r="I124" s="23">
        <v>0.15000000000000002</v>
      </c>
      <c r="J124" s="19">
        <v>7306077093085168</v>
      </c>
    </row>
    <row r="125" spans="8:10" ht="15" customHeight="1">
      <c r="H125" s="23">
        <v>5.6250000000000008E-2</v>
      </c>
      <c r="I125" s="23">
        <v>0</v>
      </c>
      <c r="J125" s="19">
        <v>7411929280414096</v>
      </c>
    </row>
    <row r="126" spans="8:10" ht="15" customHeight="1">
      <c r="H126" s="23">
        <v>5.6250000000000008E-2</v>
      </c>
      <c r="I126" s="23">
        <v>3.7500000000000007E-3</v>
      </c>
      <c r="J126" s="19">
        <v>7412179645715504</v>
      </c>
    </row>
    <row r="127" spans="8:10" ht="15" customHeight="1">
      <c r="H127" s="23">
        <v>5.6250000000000008E-2</v>
      </c>
      <c r="I127" s="23">
        <v>7.5000000000000015E-3</v>
      </c>
      <c r="J127" s="19">
        <v>7409861156862256</v>
      </c>
    </row>
    <row r="128" spans="8:10" ht="15" customHeight="1">
      <c r="H128" s="23">
        <v>5.6250000000000008E-2</v>
      </c>
      <c r="I128" s="23">
        <v>1.1250000000000001E-2</v>
      </c>
      <c r="J128" s="19">
        <v>7407180740266984</v>
      </c>
    </row>
    <row r="129" spans="8:11" ht="15" customHeight="1">
      <c r="H129" s="23">
        <v>5.6250000000000008E-2</v>
      </c>
      <c r="I129" s="23">
        <v>1.5000000000000003E-2</v>
      </c>
      <c r="J129" s="19">
        <v>7404297164398008</v>
      </c>
    </row>
    <row r="130" spans="8:11" ht="15" customHeight="1">
      <c r="H130" s="23">
        <v>5.6250000000000008E-2</v>
      </c>
      <c r="I130" s="23">
        <v>1.8750000000000003E-2</v>
      </c>
      <c r="J130" s="19">
        <v>7401420422636760</v>
      </c>
    </row>
    <row r="131" spans="8:11" ht="15" customHeight="1">
      <c r="H131" s="23">
        <v>5.6250000000000008E-2</v>
      </c>
      <c r="I131" s="23">
        <v>2.2500000000000003E-2</v>
      </c>
      <c r="J131" s="19">
        <v>7398531908744376</v>
      </c>
    </row>
    <row r="132" spans="8:11" ht="15" customHeight="1">
      <c r="H132" s="23">
        <v>5.6250000000000008E-2</v>
      </c>
      <c r="I132" s="23">
        <v>2.6250000000000002E-2</v>
      </c>
      <c r="J132" s="19">
        <v>7395676693297592</v>
      </c>
    </row>
    <row r="133" spans="8:11" ht="15" customHeight="1">
      <c r="H133" s="23">
        <v>5.6250000000000008E-2</v>
      </c>
      <c r="I133" s="23">
        <v>3.0000000000000006E-2</v>
      </c>
      <c r="J133" s="19">
        <v>7392824792617776</v>
      </c>
    </row>
    <row r="134" spans="8:11" ht="15" customHeight="1">
      <c r="H134" s="23">
        <v>5.6250000000000008E-2</v>
      </c>
      <c r="I134" s="23">
        <v>3.3750000000000002E-2</v>
      </c>
      <c r="J134" s="19">
        <v>7389998227715656</v>
      </c>
    </row>
    <row r="135" spans="8:11" ht="15" customHeight="1">
      <c r="H135" s="23">
        <v>5.6250000000000008E-2</v>
      </c>
      <c r="I135" s="23">
        <v>3.7500000000000006E-2</v>
      </c>
      <c r="J135" s="19">
        <v>7387179440525488</v>
      </c>
    </row>
    <row r="136" spans="8:11" ht="15" customHeight="1">
      <c r="H136" s="23">
        <v>5.6250000000000008E-2</v>
      </c>
      <c r="I136" s="23">
        <v>4.1250000000000009E-2</v>
      </c>
      <c r="J136" s="19">
        <v>7384382217779200</v>
      </c>
    </row>
    <row r="137" spans="8:11" ht="15" customHeight="1">
      <c r="H137" s="23">
        <v>5.6250000000000008E-2</v>
      </c>
      <c r="I137" s="23">
        <v>4.5000000000000005E-2</v>
      </c>
      <c r="J137" s="19">
        <v>7381594837380112</v>
      </c>
    </row>
    <row r="138" spans="8:11" ht="15" customHeight="1">
      <c r="H138" s="23">
        <v>5.6250000000000008E-2</v>
      </c>
      <c r="I138" s="23">
        <v>4.8750000000000009E-2</v>
      </c>
      <c r="J138" s="19">
        <v>7378826855551784</v>
      </c>
    </row>
    <row r="139" spans="8:11" ht="15" customHeight="1">
      <c r="H139" s="23">
        <v>5.6250000000000008E-2</v>
      </c>
      <c r="I139" s="23">
        <v>5.2500000000000005E-2</v>
      </c>
      <c r="J139" s="19">
        <v>7376069812947832</v>
      </c>
    </row>
    <row r="140" spans="8:11" ht="15" customHeight="1">
      <c r="H140" s="23">
        <v>5.6250000000000008E-2</v>
      </c>
      <c r="I140" s="23">
        <v>5.6250000000000008E-2</v>
      </c>
      <c r="J140" s="19">
        <v>7373330830190312</v>
      </c>
      <c r="K140" s="4"/>
    </row>
    <row r="141" spans="8:11" ht="15" customHeight="1">
      <c r="H141" s="23">
        <v>5.6250000000000008E-2</v>
      </c>
      <c r="I141" s="23">
        <v>6.0000000000000012E-2</v>
      </c>
      <c r="J141" s="19">
        <v>7370603490101368</v>
      </c>
    </row>
    <row r="142" spans="8:11" ht="15" customHeight="1">
      <c r="H142" s="23">
        <v>5.6250000000000008E-2</v>
      </c>
      <c r="I142" s="23">
        <v>6.3750000000000015E-2</v>
      </c>
      <c r="J142" s="19">
        <v>7367893427119088</v>
      </c>
    </row>
    <row r="143" spans="8:11" ht="15" customHeight="1">
      <c r="H143" s="23">
        <v>5.6250000000000008E-2</v>
      </c>
      <c r="I143" s="23">
        <v>6.7500000000000004E-2</v>
      </c>
      <c r="J143" s="19">
        <v>7365195632200496</v>
      </c>
    </row>
    <row r="144" spans="8:11" ht="15" customHeight="1">
      <c r="H144" s="23">
        <v>5.6250000000000008E-2</v>
      </c>
      <c r="I144" s="23">
        <v>7.1250000000000008E-2</v>
      </c>
      <c r="J144" s="19">
        <v>7362514828296840</v>
      </c>
    </row>
    <row r="145" spans="8:10" ht="15" customHeight="1">
      <c r="H145" s="23">
        <v>5.6250000000000008E-2</v>
      </c>
      <c r="I145" s="23">
        <v>7.5000000000000011E-2</v>
      </c>
      <c r="J145" s="19">
        <v>7359847080464480</v>
      </c>
    </row>
    <row r="146" spans="8:10" ht="15" customHeight="1">
      <c r="H146" s="23">
        <v>5.6250000000000008E-2</v>
      </c>
      <c r="I146" s="23">
        <v>7.8750000000000014E-2</v>
      </c>
      <c r="J146" s="19">
        <v>7357196600032032</v>
      </c>
    </row>
    <row r="147" spans="8:10" ht="15" customHeight="1">
      <c r="H147" s="23">
        <v>5.6250000000000008E-2</v>
      </c>
      <c r="I147" s="23">
        <v>8.2500000000000018E-2</v>
      </c>
      <c r="J147" s="19">
        <v>7354560371929560</v>
      </c>
    </row>
    <row r="148" spans="8:10" ht="15" customHeight="1">
      <c r="H148" s="23">
        <v>5.6250000000000008E-2</v>
      </c>
      <c r="I148" s="23">
        <v>8.6250000000000007E-2</v>
      </c>
      <c r="J148" s="19">
        <v>7351942420803224</v>
      </c>
    </row>
    <row r="149" spans="8:10" ht="15" customHeight="1">
      <c r="H149" s="23">
        <v>5.6250000000000008E-2</v>
      </c>
      <c r="I149" s="23">
        <v>9.0000000000000011E-2</v>
      </c>
      <c r="J149" s="19">
        <v>7349340625154272</v>
      </c>
    </row>
    <row r="150" spans="8:10" ht="15" customHeight="1">
      <c r="H150" s="23">
        <v>5.6250000000000008E-2</v>
      </c>
      <c r="I150" s="23">
        <v>9.3750000000000014E-2</v>
      </c>
      <c r="J150" s="19">
        <v>7346759130734304</v>
      </c>
    </row>
    <row r="151" spans="8:10" ht="15" customHeight="1">
      <c r="H151" s="23">
        <v>5.6250000000000008E-2</v>
      </c>
      <c r="I151" s="23">
        <v>9.7500000000000017E-2</v>
      </c>
      <c r="J151" s="19">
        <v>7344196789567496</v>
      </c>
    </row>
    <row r="152" spans="8:10" ht="15" customHeight="1">
      <c r="H152" s="23">
        <v>5.6250000000000008E-2</v>
      </c>
      <c r="I152" s="23">
        <v>0.10125000000000002</v>
      </c>
      <c r="J152" s="19">
        <v>7341658194480800</v>
      </c>
    </row>
    <row r="153" spans="8:10" ht="15" customHeight="1">
      <c r="H153" s="23">
        <v>5.6250000000000008E-2</v>
      </c>
      <c r="I153" s="23">
        <v>0.10500000000000001</v>
      </c>
      <c r="J153" s="19">
        <v>7339143344578328</v>
      </c>
    </row>
    <row r="154" spans="8:10" ht="15" customHeight="1">
      <c r="H154" s="23">
        <v>5.6250000000000008E-2</v>
      </c>
      <c r="I154" s="23">
        <v>0.10875000000000001</v>
      </c>
      <c r="J154" s="19">
        <v>7336657637073624</v>
      </c>
    </row>
    <row r="155" spans="8:10" ht="15" customHeight="1">
      <c r="H155" s="23">
        <v>5.6250000000000008E-2</v>
      </c>
      <c r="I155" s="23">
        <v>0.11250000000000002</v>
      </c>
      <c r="J155" s="19">
        <v>7334202459298672</v>
      </c>
    </row>
    <row r="156" spans="8:10" ht="15" customHeight="1">
      <c r="H156" s="23">
        <v>5.6250000000000008E-2</v>
      </c>
      <c r="I156" s="23">
        <v>0.11625000000000002</v>
      </c>
      <c r="J156" s="19">
        <v>7331784374117408</v>
      </c>
    </row>
    <row r="157" spans="8:10" ht="15" customHeight="1">
      <c r="H157" s="23">
        <v>5.6250000000000008E-2</v>
      </c>
      <c r="I157" s="23">
        <v>0.12000000000000002</v>
      </c>
      <c r="J157" s="19">
        <v>7329406389621344</v>
      </c>
    </row>
    <row r="158" spans="8:10" ht="15" customHeight="1">
      <c r="H158" s="23">
        <v>5.6250000000000008E-2</v>
      </c>
      <c r="I158" s="23">
        <v>0.12375000000000001</v>
      </c>
      <c r="J158" s="19">
        <v>7327076488382344</v>
      </c>
    </row>
    <row r="159" spans="8:10" ht="15" customHeight="1">
      <c r="H159" s="23">
        <v>5.6250000000000008E-2</v>
      </c>
      <c r="I159" s="23">
        <v>0.12750000000000003</v>
      </c>
      <c r="J159" s="19">
        <v>7324799336940704</v>
      </c>
    </row>
    <row r="160" spans="8:10" ht="15" customHeight="1">
      <c r="H160" s="23">
        <v>5.6250000000000008E-2</v>
      </c>
      <c r="I160" s="23">
        <v>0.13125000000000003</v>
      </c>
      <c r="J160" s="19">
        <v>7322584225998128</v>
      </c>
    </row>
    <row r="161" spans="8:10" ht="15" customHeight="1">
      <c r="H161" s="23">
        <v>5.6250000000000008E-2</v>
      </c>
      <c r="I161" s="23">
        <v>0.13500000000000001</v>
      </c>
      <c r="J161" s="19">
        <v>7320436973699200</v>
      </c>
    </row>
    <row r="162" spans="8:10" ht="15" customHeight="1">
      <c r="H162" s="23">
        <v>5.6250000000000008E-2</v>
      </c>
      <c r="I162" s="23">
        <v>0.13875000000000001</v>
      </c>
      <c r="J162" s="19">
        <v>7318367305332880</v>
      </c>
    </row>
    <row r="163" spans="8:10" ht="15" customHeight="1">
      <c r="H163" s="23">
        <v>5.6250000000000008E-2</v>
      </c>
      <c r="I163" s="23">
        <v>0.14250000000000002</v>
      </c>
      <c r="J163" s="19">
        <v>7316380805414944</v>
      </c>
    </row>
    <row r="164" spans="8:10" ht="15" customHeight="1">
      <c r="H164" s="23">
        <v>5.6250000000000008E-2</v>
      </c>
      <c r="I164" s="23">
        <v>0.14625000000000002</v>
      </c>
      <c r="J164" s="19">
        <v>7314486049623344</v>
      </c>
    </row>
    <row r="165" spans="8:10" ht="15" customHeight="1">
      <c r="H165" s="23">
        <v>5.6250000000000008E-2</v>
      </c>
      <c r="I165" s="23">
        <v>0.15000000000000002</v>
      </c>
      <c r="J165" s="19">
        <v>7312687274873576</v>
      </c>
    </row>
    <row r="166" spans="8:10" ht="15" customHeight="1">
      <c r="H166" s="23">
        <v>7.5000000000000011E-2</v>
      </c>
      <c r="I166" s="23">
        <v>0</v>
      </c>
      <c r="J166" s="19">
        <v>7412626093183032</v>
      </c>
    </row>
    <row r="167" spans="8:10" ht="15" customHeight="1">
      <c r="H167" s="23">
        <v>7.5000000000000011E-2</v>
      </c>
      <c r="I167" s="23">
        <v>3.7500000000000007E-3</v>
      </c>
      <c r="J167" s="19">
        <v>7412908458606880</v>
      </c>
    </row>
    <row r="168" spans="8:10" ht="15" customHeight="1">
      <c r="H168" s="23">
        <v>7.5000000000000011E-2</v>
      </c>
      <c r="I168" s="23">
        <v>7.5000000000000015E-3</v>
      </c>
      <c r="J168" s="19">
        <v>7410623458603512</v>
      </c>
    </row>
    <row r="169" spans="8:10" ht="15" customHeight="1">
      <c r="H169" s="23">
        <v>7.5000000000000011E-2</v>
      </c>
      <c r="I169" s="23">
        <v>1.1250000000000001E-2</v>
      </c>
      <c r="J169" s="19">
        <v>7407978166357104</v>
      </c>
    </row>
    <row r="170" spans="8:10" ht="15" customHeight="1">
      <c r="H170" s="23">
        <v>7.5000000000000011E-2</v>
      </c>
      <c r="I170" s="23">
        <v>1.5000000000000003E-2</v>
      </c>
      <c r="J170" s="19">
        <v>7405131518918248</v>
      </c>
    </row>
    <row r="171" spans="8:10" ht="15" customHeight="1">
      <c r="H171" s="23">
        <v>7.5000000000000011E-2</v>
      </c>
      <c r="I171" s="23">
        <v>1.8750000000000003E-2</v>
      </c>
      <c r="J171" s="19">
        <v>7402293688088192</v>
      </c>
    </row>
    <row r="172" spans="8:10" ht="15" customHeight="1">
      <c r="H172" s="23">
        <v>7.5000000000000011E-2</v>
      </c>
      <c r="I172" s="23">
        <v>2.2500000000000003E-2</v>
      </c>
      <c r="J172" s="19">
        <v>7399446258781488</v>
      </c>
    </row>
    <row r="173" spans="8:10" ht="15" customHeight="1">
      <c r="H173" s="23">
        <v>7.5000000000000011E-2</v>
      </c>
      <c r="I173" s="23">
        <v>2.6250000000000002E-2</v>
      </c>
      <c r="J173" s="19">
        <v>7396634504840368</v>
      </c>
    </row>
    <row r="174" spans="8:10" ht="15" customHeight="1">
      <c r="H174" s="23">
        <v>7.5000000000000011E-2</v>
      </c>
      <c r="I174" s="23">
        <v>3.0000000000000006E-2</v>
      </c>
      <c r="J174" s="19">
        <v>7393828660008320</v>
      </c>
    </row>
    <row r="175" spans="8:10" ht="15" customHeight="1">
      <c r="H175" s="23">
        <v>7.5000000000000011E-2</v>
      </c>
      <c r="I175" s="23">
        <v>3.3750000000000002E-2</v>
      </c>
      <c r="J175" s="19">
        <v>7391050977262424</v>
      </c>
    </row>
    <row r="176" spans="8:10" ht="15" customHeight="1">
      <c r="H176" s="23">
        <v>7.5000000000000011E-2</v>
      </c>
      <c r="I176" s="23">
        <v>3.7500000000000006E-2</v>
      </c>
      <c r="J176" s="19">
        <v>7388284146782352</v>
      </c>
    </row>
    <row r="177" spans="8:10" ht="15" customHeight="1">
      <c r="H177" s="23">
        <v>7.5000000000000011E-2</v>
      </c>
      <c r="I177" s="23">
        <v>4.1250000000000009E-2</v>
      </c>
      <c r="J177" s="19">
        <v>7385542220437016</v>
      </c>
    </row>
    <row r="178" spans="8:10" ht="15" customHeight="1">
      <c r="H178" s="23">
        <v>7.5000000000000011E-2</v>
      </c>
      <c r="I178" s="23">
        <v>4.5000000000000005E-2</v>
      </c>
      <c r="J178" s="19">
        <v>7382813759417184</v>
      </c>
    </row>
    <row r="179" spans="8:10" ht="15" customHeight="1">
      <c r="H179" s="23">
        <v>7.5000000000000011E-2</v>
      </c>
      <c r="I179" s="23">
        <v>4.8750000000000009E-2</v>
      </c>
      <c r="J179" s="19">
        <v>7380108621740336</v>
      </c>
    </row>
    <row r="180" spans="8:10" ht="15" customHeight="1">
      <c r="H180" s="23">
        <v>7.5000000000000011E-2</v>
      </c>
      <c r="I180" s="23">
        <v>5.2500000000000005E-2</v>
      </c>
      <c r="J180" s="19">
        <v>7377418668892248</v>
      </c>
    </row>
    <row r="181" spans="8:10" ht="15" customHeight="1">
      <c r="H181" s="23">
        <v>7.5000000000000011E-2</v>
      </c>
      <c r="I181" s="23">
        <v>5.6250000000000008E-2</v>
      </c>
      <c r="J181" s="19">
        <v>7374751360913792</v>
      </c>
    </row>
    <row r="182" spans="8:10" ht="15" customHeight="1">
      <c r="H182" s="23">
        <v>7.5000000000000011E-2</v>
      </c>
      <c r="I182" s="23">
        <v>6.0000000000000012E-2</v>
      </c>
      <c r="J182" s="19">
        <v>7372100637846008</v>
      </c>
    </row>
    <row r="183" spans="8:10" ht="15" customHeight="1">
      <c r="H183" s="23">
        <v>7.5000000000000011E-2</v>
      </c>
      <c r="I183" s="23">
        <v>6.3750000000000015E-2</v>
      </c>
      <c r="J183" s="19">
        <v>7369472507018832</v>
      </c>
    </row>
    <row r="184" spans="8:10" ht="15" customHeight="1">
      <c r="H184" s="23">
        <v>7.5000000000000011E-2</v>
      </c>
      <c r="I184" s="23">
        <v>6.7500000000000004E-2</v>
      </c>
      <c r="J184" s="19">
        <v>7366862344790072</v>
      </c>
    </row>
    <row r="185" spans="8:10" ht="15" customHeight="1">
      <c r="H185" s="23">
        <v>7.5000000000000011E-2</v>
      </c>
      <c r="I185" s="23">
        <v>7.1250000000000008E-2</v>
      </c>
      <c r="J185" s="19">
        <v>7364275266805512</v>
      </c>
    </row>
    <row r="186" spans="8:10" ht="15" customHeight="1">
      <c r="H186" s="23">
        <v>7.5000000000000011E-2</v>
      </c>
      <c r="I186" s="23">
        <v>7.5000000000000011E-2</v>
      </c>
      <c r="J186" s="19">
        <v>7361707730807216</v>
      </c>
    </row>
    <row r="187" spans="8:10" ht="15" customHeight="1">
      <c r="H187" s="23">
        <v>7.5000000000000011E-2</v>
      </c>
      <c r="I187" s="23">
        <v>7.8750000000000014E-2</v>
      </c>
      <c r="J187" s="19">
        <v>7359164330260552</v>
      </c>
    </row>
    <row r="188" spans="8:10" ht="15" customHeight="1">
      <c r="H188" s="23">
        <v>7.5000000000000011E-2</v>
      </c>
      <c r="I188" s="23">
        <v>8.2500000000000018E-2</v>
      </c>
      <c r="J188" s="19">
        <v>7356642407492424</v>
      </c>
    </row>
    <row r="189" spans="8:10" ht="15" customHeight="1">
      <c r="H189" s="23">
        <v>7.5000000000000011E-2</v>
      </c>
      <c r="I189" s="23">
        <v>8.6250000000000007E-2</v>
      </c>
      <c r="J189" s="19">
        <v>7354146300582024</v>
      </c>
    </row>
    <row r="190" spans="8:10" ht="15" customHeight="1">
      <c r="H190" s="23">
        <v>7.5000000000000011E-2</v>
      </c>
      <c r="I190" s="23">
        <v>9.0000000000000011E-2</v>
      </c>
      <c r="J190" s="19">
        <v>7351674132450800</v>
      </c>
    </row>
    <row r="191" spans="8:10" ht="15" customHeight="1">
      <c r="H191" s="23">
        <v>7.5000000000000011E-2</v>
      </c>
      <c r="I191" s="23">
        <v>9.3750000000000014E-2</v>
      </c>
      <c r="J191" s="19">
        <v>7349230191784008</v>
      </c>
    </row>
    <row r="192" spans="8:10" ht="15" customHeight="1">
      <c r="H192" s="23">
        <v>7.5000000000000011E-2</v>
      </c>
      <c r="I192" s="23">
        <v>9.7500000000000017E-2</v>
      </c>
      <c r="J192" s="19">
        <v>7346813331159048</v>
      </c>
    </row>
    <row r="193" spans="8:10" ht="15" customHeight="1">
      <c r="H193" s="23">
        <v>7.5000000000000011E-2</v>
      </c>
      <c r="I193" s="23">
        <v>0.10125000000000002</v>
      </c>
      <c r="J193" s="19">
        <v>7344427950804200</v>
      </c>
    </row>
    <row r="194" spans="8:10" ht="15" customHeight="1">
      <c r="H194" s="23">
        <v>7.5000000000000011E-2</v>
      </c>
      <c r="I194" s="23">
        <v>0.10500000000000001</v>
      </c>
      <c r="J194" s="19">
        <v>7342073602940000</v>
      </c>
    </row>
    <row r="195" spans="8:10" ht="15" customHeight="1">
      <c r="H195" s="23">
        <v>7.5000000000000011E-2</v>
      </c>
      <c r="I195" s="23">
        <v>0.10875000000000001</v>
      </c>
      <c r="J195" s="19">
        <v>7339754911997760</v>
      </c>
    </row>
    <row r="196" spans="8:10" ht="15" customHeight="1">
      <c r="H196" s="23">
        <v>7.5000000000000011E-2</v>
      </c>
      <c r="I196" s="23">
        <v>0.11250000000000002</v>
      </c>
      <c r="J196" s="19">
        <v>7337472086504560</v>
      </c>
    </row>
    <row r="197" spans="8:10" ht="15" customHeight="1">
      <c r="H197" s="23">
        <v>7.5000000000000011E-2</v>
      </c>
      <c r="I197" s="23">
        <v>0.11625000000000002</v>
      </c>
      <c r="J197" s="19">
        <v>7335230019957256</v>
      </c>
    </row>
    <row r="198" spans="8:10" ht="15" customHeight="1">
      <c r="H198" s="23">
        <v>7.5000000000000011E-2</v>
      </c>
      <c r="I198" s="23">
        <v>0.12000000000000002</v>
      </c>
      <c r="J198" s="19">
        <v>7333029479974224</v>
      </c>
    </row>
    <row r="199" spans="8:10" ht="15" customHeight="1">
      <c r="H199" s="23">
        <v>7.5000000000000011E-2</v>
      </c>
      <c r="I199" s="23">
        <v>0.12375000000000001</v>
      </c>
      <c r="J199" s="19">
        <v>7330875574205544</v>
      </c>
    </row>
    <row r="200" spans="8:10" ht="15" customHeight="1">
      <c r="H200" s="23">
        <v>7.5000000000000011E-2</v>
      </c>
      <c r="I200" s="23">
        <v>0.12750000000000003</v>
      </c>
      <c r="J200" s="19">
        <v>7328769433264728</v>
      </c>
    </row>
    <row r="201" spans="8:10" ht="15" customHeight="1">
      <c r="H201" s="23">
        <v>7.5000000000000011E-2</v>
      </c>
      <c r="I201" s="23">
        <v>0.13125000000000003</v>
      </c>
      <c r="J201" s="19">
        <v>7326716184859288</v>
      </c>
    </row>
    <row r="202" spans="8:10" ht="15" customHeight="1">
      <c r="H202" s="23">
        <v>7.5000000000000011E-2</v>
      </c>
      <c r="I202" s="23">
        <v>0.13500000000000001</v>
      </c>
      <c r="J202" s="19">
        <v>7324716972560760</v>
      </c>
    </row>
    <row r="203" spans="8:10" ht="15" customHeight="1">
      <c r="H203" s="23">
        <v>7.5000000000000011E-2</v>
      </c>
      <c r="I203" s="23">
        <v>0.13875000000000001</v>
      </c>
      <c r="J203" s="19">
        <v>7322776528646336</v>
      </c>
    </row>
    <row r="204" spans="8:10" ht="15" customHeight="1">
      <c r="H204" s="23">
        <v>7.5000000000000011E-2</v>
      </c>
      <c r="I204" s="23">
        <v>0.14250000000000002</v>
      </c>
      <c r="J204" s="19">
        <v>7320895316255840</v>
      </c>
    </row>
    <row r="205" spans="8:10" ht="15" customHeight="1">
      <c r="H205" s="23">
        <v>7.5000000000000011E-2</v>
      </c>
      <c r="I205" s="23">
        <v>0.14625000000000002</v>
      </c>
      <c r="J205" s="19">
        <v>7319076573293064</v>
      </c>
    </row>
    <row r="206" spans="8:10" ht="15" customHeight="1">
      <c r="H206" s="23">
        <v>7.5000000000000011E-2</v>
      </c>
      <c r="I206" s="23">
        <v>0.15000000000000002</v>
      </c>
      <c r="J206" s="19">
        <v>7317317899272040</v>
      </c>
    </row>
    <row r="207" spans="8:10" ht="15" customHeight="1">
      <c r="H207" s="23">
        <v>9.3750000000000014E-2</v>
      </c>
      <c r="I207" s="23">
        <v>0</v>
      </c>
      <c r="J207" s="19">
        <v>7413460377742392</v>
      </c>
    </row>
    <row r="208" spans="8:10" ht="15" customHeight="1">
      <c r="H208" s="23">
        <v>9.3750000000000014E-2</v>
      </c>
      <c r="I208" s="23">
        <v>3.7500000000000007E-3</v>
      </c>
      <c r="J208" s="19">
        <v>7413775473274536</v>
      </c>
    </row>
    <row r="209" spans="8:10" ht="15" customHeight="1">
      <c r="H209" s="23">
        <v>9.3750000000000014E-2</v>
      </c>
      <c r="I209" s="23">
        <v>7.5000000000000015E-3</v>
      </c>
      <c r="J209" s="19">
        <v>7411524660982456</v>
      </c>
    </row>
    <row r="210" spans="8:10" ht="15" customHeight="1">
      <c r="H210" s="23">
        <v>9.3750000000000014E-2</v>
      </c>
      <c r="I210" s="23">
        <v>1.1250000000000001E-2</v>
      </c>
      <c r="J210" s="19">
        <v>7408915109619848</v>
      </c>
    </row>
    <row r="211" spans="8:10" ht="15" customHeight="1">
      <c r="H211" s="23">
        <v>9.3750000000000014E-2</v>
      </c>
      <c r="I211" s="23">
        <v>1.5000000000000003E-2</v>
      </c>
      <c r="J211" s="19">
        <v>7406105871551256</v>
      </c>
    </row>
    <row r="212" spans="8:10" ht="15" customHeight="1">
      <c r="H212" s="23">
        <v>9.3750000000000014E-2</v>
      </c>
      <c r="I212" s="23">
        <v>1.8750000000000003E-2</v>
      </c>
      <c r="J212" s="19">
        <v>7403307238043112</v>
      </c>
    </row>
    <row r="213" spans="8:10" ht="15" customHeight="1">
      <c r="H213" s="23">
        <v>9.3750000000000014E-2</v>
      </c>
      <c r="I213" s="23">
        <v>2.2500000000000003E-2</v>
      </c>
      <c r="J213" s="19">
        <v>7400500919801768</v>
      </c>
    </row>
    <row r="214" spans="8:10" ht="15" customHeight="1">
      <c r="H214" s="23">
        <v>9.3750000000000014E-2</v>
      </c>
      <c r="I214" s="23">
        <v>2.6250000000000002E-2</v>
      </c>
      <c r="J214" s="19">
        <v>7397732320486864</v>
      </c>
    </row>
    <row r="215" spans="8:10" ht="15" customHeight="1">
      <c r="H215" s="23">
        <v>9.3750000000000014E-2</v>
      </c>
      <c r="I215" s="23">
        <v>3.0000000000000006E-2</v>
      </c>
      <c r="J215" s="19">
        <v>7394971808441544</v>
      </c>
    </row>
    <row r="216" spans="8:10" ht="15" customHeight="1">
      <c r="H216" s="23">
        <v>9.3750000000000014E-2</v>
      </c>
      <c r="I216" s="23">
        <v>3.3750000000000002E-2</v>
      </c>
      <c r="J216" s="19">
        <v>7392241774597280</v>
      </c>
    </row>
    <row r="217" spans="8:10" ht="15" customHeight="1">
      <c r="H217" s="23">
        <v>9.3750000000000014E-2</v>
      </c>
      <c r="I217" s="23">
        <v>3.7500000000000006E-2</v>
      </c>
      <c r="J217" s="19">
        <v>7389525050473664</v>
      </c>
    </row>
    <row r="218" spans="8:10" ht="15" customHeight="1">
      <c r="H218" s="23">
        <v>9.3750000000000014E-2</v>
      </c>
      <c r="I218" s="23">
        <v>4.1250000000000009E-2</v>
      </c>
      <c r="J218" s="19">
        <v>7386835831172784</v>
      </c>
    </row>
    <row r="219" spans="8:10" ht="15" customHeight="1">
      <c r="H219" s="23">
        <v>9.3750000000000014E-2</v>
      </c>
      <c r="I219" s="23">
        <v>4.5000000000000005E-2</v>
      </c>
      <c r="J219" s="19">
        <v>7384162822157432</v>
      </c>
    </row>
    <row r="220" spans="8:10" ht="15" customHeight="1">
      <c r="H220" s="23">
        <v>9.3750000000000014E-2</v>
      </c>
      <c r="I220" s="23">
        <v>4.8750000000000009E-2</v>
      </c>
      <c r="J220" s="19">
        <v>7381516024687856</v>
      </c>
    </row>
    <row r="221" spans="8:10" ht="15" customHeight="1">
      <c r="H221" s="23">
        <v>9.3750000000000014E-2</v>
      </c>
      <c r="I221" s="23">
        <v>5.2500000000000005E-2</v>
      </c>
      <c r="J221" s="19">
        <v>7378887440546152</v>
      </c>
    </row>
    <row r="222" spans="8:10" ht="15" customHeight="1">
      <c r="H222" s="23">
        <v>9.3750000000000014E-2</v>
      </c>
      <c r="I222" s="23">
        <v>5.6250000000000008E-2</v>
      </c>
      <c r="J222" s="19">
        <v>7376284664033968</v>
      </c>
    </row>
    <row r="223" spans="8:10" ht="15" customHeight="1">
      <c r="H223" s="23">
        <v>9.3750000000000014E-2</v>
      </c>
      <c r="I223" s="23">
        <v>6.0000000000000012E-2</v>
      </c>
      <c r="J223" s="19">
        <v>7373701760076856</v>
      </c>
    </row>
    <row r="224" spans="8:10" ht="15" customHeight="1">
      <c r="H224" s="23">
        <v>9.3750000000000014E-2</v>
      </c>
      <c r="I224" s="23">
        <v>6.3750000000000015E-2</v>
      </c>
      <c r="J224" s="19">
        <v>7371144846892608</v>
      </c>
    </row>
    <row r="225" spans="8:10" ht="15" customHeight="1">
      <c r="H225" s="23">
        <v>9.3750000000000014E-2</v>
      </c>
      <c r="I225" s="23">
        <v>6.7500000000000004E-2</v>
      </c>
      <c r="J225" s="19">
        <v>7368609392470776</v>
      </c>
    </row>
    <row r="226" spans="8:10" ht="15" customHeight="1">
      <c r="H226" s="23">
        <v>9.3750000000000014E-2</v>
      </c>
      <c r="I226" s="23">
        <v>7.1250000000000008E-2</v>
      </c>
      <c r="J226" s="19">
        <v>7366100578089968</v>
      </c>
    </row>
    <row r="227" spans="8:10" ht="15" customHeight="1">
      <c r="H227" s="23">
        <v>9.3750000000000014E-2</v>
      </c>
      <c r="I227" s="23">
        <v>7.5000000000000011E-2</v>
      </c>
      <c r="J227" s="19">
        <v>7363614893372480</v>
      </c>
    </row>
    <row r="228" spans="8:10" ht="15" customHeight="1">
      <c r="H228" s="23">
        <v>9.3750000000000014E-2</v>
      </c>
      <c r="I228" s="23">
        <v>7.8750000000000014E-2</v>
      </c>
      <c r="J228" s="19">
        <v>7361156920444400</v>
      </c>
    </row>
    <row r="229" spans="8:10" ht="15" customHeight="1">
      <c r="H229" s="23">
        <v>9.3750000000000014E-2</v>
      </c>
      <c r="I229" s="23">
        <v>8.2500000000000018E-2</v>
      </c>
      <c r="J229" s="19">
        <v>7358723936297048</v>
      </c>
    </row>
    <row r="230" spans="8:10" ht="15" customHeight="1">
      <c r="H230" s="23">
        <v>9.3750000000000014E-2</v>
      </c>
      <c r="I230" s="23">
        <v>8.6250000000000007E-2</v>
      </c>
      <c r="J230" s="19">
        <v>7356320147062096</v>
      </c>
    </row>
    <row r="231" spans="8:10" ht="15" customHeight="1">
      <c r="H231" s="23">
        <v>9.3750000000000014E-2</v>
      </c>
      <c r="I231" s="23">
        <v>9.0000000000000011E-2</v>
      </c>
      <c r="J231" s="19">
        <v>7353943463103968</v>
      </c>
    </row>
    <row r="232" spans="8:10" ht="15" customHeight="1">
      <c r="H232" s="23">
        <v>9.3750000000000014E-2</v>
      </c>
      <c r="I232" s="23">
        <v>9.3750000000000014E-2</v>
      </c>
      <c r="J232" s="19">
        <v>7351597864304544</v>
      </c>
    </row>
    <row r="233" spans="8:10" ht="15" customHeight="1">
      <c r="H233" s="23">
        <v>9.3750000000000014E-2</v>
      </c>
      <c r="I233" s="23">
        <v>9.7500000000000017E-2</v>
      </c>
      <c r="J233" s="19">
        <v>7349281781606896</v>
      </c>
    </row>
    <row r="234" spans="8:10" ht="15" customHeight="1">
      <c r="H234" s="23">
        <v>9.3750000000000014E-2</v>
      </c>
      <c r="I234" s="23">
        <v>0.10125000000000002</v>
      </c>
      <c r="J234" s="19">
        <v>7346999063417880</v>
      </c>
    </row>
    <row r="235" spans="8:10" ht="15" customHeight="1">
      <c r="H235" s="23">
        <v>9.3750000000000014E-2</v>
      </c>
      <c r="I235" s="23">
        <v>0.10500000000000001</v>
      </c>
      <c r="J235" s="19">
        <v>7344748562955680</v>
      </c>
    </row>
    <row r="236" spans="8:10" ht="15" customHeight="1">
      <c r="H236" s="23">
        <v>9.3750000000000014E-2</v>
      </c>
      <c r="I236" s="23">
        <v>0.10875000000000001</v>
      </c>
      <c r="J236" s="19">
        <v>7342534042620912</v>
      </c>
    </row>
    <row r="237" spans="8:10" ht="15" customHeight="1">
      <c r="H237" s="23">
        <v>9.3750000000000014E-2</v>
      </c>
      <c r="I237" s="23">
        <v>0.11250000000000002</v>
      </c>
      <c r="J237" s="19">
        <v>7340354672898248</v>
      </c>
    </row>
    <row r="238" spans="8:10" ht="15" customHeight="1">
      <c r="H238" s="23">
        <v>9.3750000000000014E-2</v>
      </c>
      <c r="I238" s="23">
        <v>0.11625000000000002</v>
      </c>
      <c r="J238" s="19">
        <v>7338214124543504</v>
      </c>
    </row>
    <row r="239" spans="8:10" ht="15" customHeight="1">
      <c r="H239" s="23">
        <v>9.3750000000000014E-2</v>
      </c>
      <c r="I239" s="23">
        <v>0.12000000000000002</v>
      </c>
      <c r="J239" s="19">
        <v>7336111755633432</v>
      </c>
    </row>
    <row r="240" spans="8:10" ht="15" customHeight="1">
      <c r="H240" s="23">
        <v>9.3750000000000014E-2</v>
      </c>
      <c r="I240" s="23">
        <v>0.12375000000000001</v>
      </c>
      <c r="J240" s="19">
        <v>7334051084137744</v>
      </c>
    </row>
    <row r="241" spans="8:11" ht="15" customHeight="1">
      <c r="H241" s="23">
        <v>9.3750000000000014E-2</v>
      </c>
      <c r="I241" s="23">
        <v>0.12750000000000003</v>
      </c>
      <c r="J241" s="19">
        <v>7332031490044096</v>
      </c>
    </row>
    <row r="242" spans="8:11" ht="15" customHeight="1">
      <c r="H242" s="23">
        <v>9.3750000000000014E-2</v>
      </c>
      <c r="I242" s="23">
        <v>0.13125000000000003</v>
      </c>
      <c r="J242" s="19">
        <v>7330056227673504</v>
      </c>
    </row>
    <row r="243" spans="8:11" ht="15" customHeight="1">
      <c r="H243" s="23">
        <v>9.3750000000000014E-2</v>
      </c>
      <c r="I243" s="23">
        <v>0.13500000000000001</v>
      </c>
      <c r="J243" s="19">
        <v>7328124517522224</v>
      </c>
    </row>
    <row r="244" spans="8:11" ht="15" customHeight="1">
      <c r="H244" s="23">
        <v>9.3750000000000014E-2</v>
      </c>
      <c r="I244" s="23">
        <v>0.13875000000000001</v>
      </c>
      <c r="J244" s="19">
        <v>7326239265725928</v>
      </c>
    </row>
    <row r="245" spans="8:11" ht="15" customHeight="1">
      <c r="H245" s="23">
        <v>9.3750000000000014E-2</v>
      </c>
      <c r="I245" s="23">
        <v>0.14250000000000002</v>
      </c>
      <c r="J245" s="19">
        <v>7324399521674480</v>
      </c>
    </row>
    <row r="246" spans="8:11" ht="15" customHeight="1">
      <c r="H246" s="23">
        <v>9.3750000000000014E-2</v>
      </c>
      <c r="I246" s="23">
        <v>0.14625000000000002</v>
      </c>
      <c r="J246" s="19">
        <v>7322608230214328</v>
      </c>
    </row>
    <row r="247" spans="8:11" ht="15" customHeight="1">
      <c r="H247" s="23">
        <v>9.3750000000000014E-2</v>
      </c>
      <c r="I247" s="23">
        <v>0.15000000000000002</v>
      </c>
      <c r="J247" s="19">
        <v>7320865428976376</v>
      </c>
    </row>
    <row r="248" spans="8:11" ht="15" customHeight="1">
      <c r="H248" s="23">
        <v>0.11250000000000002</v>
      </c>
      <c r="I248" s="23">
        <v>0</v>
      </c>
      <c r="J248" s="19">
        <v>7414399264990360</v>
      </c>
    </row>
    <row r="249" spans="8:11" ht="15" customHeight="1">
      <c r="H249" s="23">
        <v>0.11250000000000002</v>
      </c>
      <c r="I249" s="23">
        <v>3.7500000000000007E-3</v>
      </c>
      <c r="J249" s="19">
        <v>7414745150594368</v>
      </c>
      <c r="K249" s="4"/>
    </row>
    <row r="250" spans="8:11" ht="15" customHeight="1">
      <c r="H250" s="23">
        <v>0.11250000000000002</v>
      </c>
      <c r="I250" s="23">
        <v>7.5000000000000015E-3</v>
      </c>
      <c r="J250" s="19">
        <v>7412526442000688</v>
      </c>
    </row>
    <row r="251" spans="8:11" ht="15" customHeight="1">
      <c r="H251" s="23">
        <v>0.11250000000000002</v>
      </c>
      <c r="I251" s="23">
        <v>1.1250000000000001E-2</v>
      </c>
      <c r="J251" s="19">
        <v>7409950348009752</v>
      </c>
    </row>
    <row r="252" spans="8:11" ht="15" customHeight="1">
      <c r="H252" s="23">
        <v>0.11250000000000002</v>
      </c>
      <c r="I252" s="23">
        <v>1.5000000000000003E-2</v>
      </c>
      <c r="J252" s="19">
        <v>7407175980257656</v>
      </c>
    </row>
    <row r="253" spans="8:11" ht="15" customHeight="1">
      <c r="H253" s="23">
        <v>0.11250000000000002</v>
      </c>
      <c r="I253" s="23">
        <v>1.8750000000000003E-2</v>
      </c>
      <c r="J253" s="19">
        <v>7404413689907848</v>
      </c>
    </row>
    <row r="254" spans="8:11" ht="15" customHeight="1">
      <c r="H254" s="23">
        <v>0.11250000000000002</v>
      </c>
      <c r="I254" s="23">
        <v>2.2500000000000003E-2</v>
      </c>
      <c r="J254" s="19">
        <v>7401645249912168</v>
      </c>
    </row>
    <row r="255" spans="8:11" ht="15" customHeight="1">
      <c r="H255" s="23">
        <v>0.11250000000000002</v>
      </c>
      <c r="I255" s="23">
        <v>2.6250000000000002E-2</v>
      </c>
      <c r="J255" s="19">
        <v>7398916125253664</v>
      </c>
    </row>
    <row r="256" spans="8:11" ht="15" customHeight="1">
      <c r="H256" s="23">
        <v>0.11250000000000002</v>
      </c>
      <c r="I256" s="23">
        <v>3.0000000000000006E-2</v>
      </c>
      <c r="J256" s="19">
        <v>7396196744950152</v>
      </c>
    </row>
    <row r="257" spans="8:10" ht="15" customHeight="1">
      <c r="H257" s="23">
        <v>0.11250000000000002</v>
      </c>
      <c r="I257" s="23">
        <v>3.3750000000000002E-2</v>
      </c>
      <c r="J257" s="19">
        <v>7393509557820328</v>
      </c>
    </row>
    <row r="258" spans="8:10" ht="15" customHeight="1">
      <c r="H258" s="23">
        <v>0.11250000000000002</v>
      </c>
      <c r="I258" s="23">
        <v>3.7500000000000006E-2</v>
      </c>
      <c r="J258" s="19">
        <v>7390837450081616</v>
      </c>
    </row>
    <row r="259" spans="8:10" ht="15" customHeight="1">
      <c r="H259" s="23">
        <v>0.11250000000000002</v>
      </c>
      <c r="I259" s="23">
        <v>4.1250000000000009E-2</v>
      </c>
      <c r="J259" s="19">
        <v>7388194666335904</v>
      </c>
    </row>
    <row r="260" spans="8:10" ht="15" customHeight="1">
      <c r="H260" s="23">
        <v>0.11250000000000002</v>
      </c>
      <c r="I260" s="23">
        <v>4.5000000000000005E-2</v>
      </c>
      <c r="J260" s="19">
        <v>7385569955221120</v>
      </c>
    </row>
    <row r="261" spans="8:10" ht="15" customHeight="1">
      <c r="H261" s="23">
        <v>0.11250000000000002</v>
      </c>
      <c r="I261" s="23">
        <v>4.8750000000000009E-2</v>
      </c>
      <c r="J261" s="19">
        <v>7382973352567848</v>
      </c>
    </row>
    <row r="262" spans="8:10" ht="15" customHeight="1">
      <c r="H262" s="23">
        <v>0.11250000000000002</v>
      </c>
      <c r="I262" s="23">
        <v>5.2500000000000005E-2</v>
      </c>
      <c r="J262" s="19">
        <v>7380396884309528</v>
      </c>
    </row>
    <row r="263" spans="8:10" ht="15" customHeight="1">
      <c r="H263" s="23">
        <v>0.11250000000000002</v>
      </c>
      <c r="I263" s="23">
        <v>5.6250000000000008E-2</v>
      </c>
      <c r="J263" s="19">
        <v>7377848155724648</v>
      </c>
    </row>
    <row r="264" spans="8:10" ht="15" customHeight="1">
      <c r="H264" s="23">
        <v>0.11250000000000002</v>
      </c>
      <c r="I264" s="23">
        <v>6.0000000000000012E-2</v>
      </c>
      <c r="J264" s="19">
        <v>7375321227004912</v>
      </c>
    </row>
    <row r="265" spans="8:10" ht="15" customHeight="1">
      <c r="H265" s="23">
        <v>0.11250000000000002</v>
      </c>
      <c r="I265" s="23">
        <v>6.3750000000000015E-2</v>
      </c>
      <c r="J265" s="19">
        <v>7372822192571880</v>
      </c>
    </row>
    <row r="266" spans="8:10" ht="15" customHeight="1">
      <c r="H266" s="23">
        <v>0.11250000000000002</v>
      </c>
      <c r="I266" s="23">
        <v>6.7500000000000004E-2</v>
      </c>
      <c r="J266" s="19">
        <v>7370346474285944</v>
      </c>
    </row>
    <row r="267" spans="8:10" ht="15" customHeight="1">
      <c r="H267" s="23">
        <v>0.11250000000000002</v>
      </c>
      <c r="I267" s="23">
        <v>7.1250000000000008E-2</v>
      </c>
      <c r="J267" s="19">
        <v>7367899180995704</v>
      </c>
    </row>
    <row r="268" spans="8:10" ht="15" customHeight="1">
      <c r="H268" s="23">
        <v>0.11250000000000002</v>
      </c>
      <c r="I268" s="23">
        <v>7.5000000000000011E-2</v>
      </c>
      <c r="J268" s="19">
        <v>7365476699676432</v>
      </c>
    </row>
    <row r="269" spans="8:10" ht="15" customHeight="1">
      <c r="H269" s="23">
        <v>0.11250000000000002</v>
      </c>
      <c r="I269" s="23">
        <v>7.8750000000000014E-2</v>
      </c>
      <c r="J269" s="19">
        <v>7363083475155288</v>
      </c>
    </row>
    <row r="270" spans="8:10" ht="15" customHeight="1">
      <c r="H270" s="23">
        <v>0.11250000000000002</v>
      </c>
      <c r="I270" s="23">
        <v>8.2500000000000018E-2</v>
      </c>
      <c r="J270" s="19">
        <v>7360716608210824</v>
      </c>
    </row>
    <row r="271" spans="8:10" ht="15" customHeight="1">
      <c r="H271" s="23">
        <v>0.11250000000000002</v>
      </c>
      <c r="I271" s="23">
        <v>8.6250000000000007E-2</v>
      </c>
      <c r="J271" s="19">
        <v>7358380085381928</v>
      </c>
    </row>
    <row r="272" spans="8:10" ht="15" customHeight="1">
      <c r="H272" s="23">
        <v>0.11250000000000002</v>
      </c>
      <c r="I272" s="23">
        <v>9.0000000000000011E-2</v>
      </c>
      <c r="J272" s="19">
        <v>7356071550104792</v>
      </c>
    </row>
    <row r="273" spans="8:10" ht="15" customHeight="1">
      <c r="H273" s="23">
        <v>0.11250000000000002</v>
      </c>
      <c r="I273" s="23">
        <v>9.3750000000000014E-2</v>
      </c>
      <c r="J273" s="19">
        <v>7353794664390880</v>
      </c>
    </row>
    <row r="274" spans="8:10" ht="15" customHeight="1">
      <c r="H274" s="23">
        <v>0.11250000000000002</v>
      </c>
      <c r="I274" s="23">
        <v>9.7500000000000017E-2</v>
      </c>
      <c r="J274" s="19">
        <v>7351547487923848</v>
      </c>
    </row>
    <row r="275" spans="8:10" ht="15" customHeight="1">
      <c r="H275" s="23">
        <v>0.11250000000000002</v>
      </c>
      <c r="I275" s="23">
        <v>0.10125000000000002</v>
      </c>
      <c r="J275" s="19">
        <v>7349333443266080</v>
      </c>
    </row>
    <row r="276" spans="8:10" ht="15" customHeight="1">
      <c r="H276" s="23">
        <v>0.11250000000000002</v>
      </c>
      <c r="I276" s="23">
        <v>0.10500000000000001</v>
      </c>
      <c r="J276" s="19">
        <v>7347150904249232</v>
      </c>
    </row>
    <row r="277" spans="8:10" ht="15" customHeight="1">
      <c r="H277" s="23">
        <v>0.11250000000000002</v>
      </c>
      <c r="I277" s="23">
        <v>0.10875000000000001</v>
      </c>
      <c r="J277" s="19">
        <v>7345003104016240</v>
      </c>
    </row>
    <row r="278" spans="8:10" ht="15" customHeight="1">
      <c r="H278" s="23">
        <v>0.11250000000000002</v>
      </c>
      <c r="I278" s="23">
        <v>0.11250000000000002</v>
      </c>
      <c r="J278" s="19">
        <v>7342888641440792</v>
      </c>
    </row>
    <row r="279" spans="8:10" ht="15" customHeight="1">
      <c r="H279" s="23">
        <v>0.11250000000000002</v>
      </c>
      <c r="I279" s="23">
        <v>0.11625000000000002</v>
      </c>
      <c r="J279" s="19">
        <v>7340810585339176</v>
      </c>
    </row>
    <row r="280" spans="8:10" ht="15" customHeight="1">
      <c r="H280" s="23">
        <v>0.11250000000000002</v>
      </c>
      <c r="I280" s="23">
        <v>0.12000000000000002</v>
      </c>
      <c r="J280" s="19">
        <v>7338767679329856</v>
      </c>
    </row>
    <row r="281" spans="8:10" ht="15" customHeight="1">
      <c r="H281" s="23">
        <v>0.11250000000000002</v>
      </c>
      <c r="I281" s="23">
        <v>0.12375000000000001</v>
      </c>
      <c r="J281" s="19">
        <v>7336762838287752</v>
      </c>
    </row>
    <row r="282" spans="8:10" ht="15" customHeight="1">
      <c r="H282" s="23">
        <v>0.11250000000000002</v>
      </c>
      <c r="I282" s="23">
        <v>0.12750000000000003</v>
      </c>
      <c r="J282" s="19">
        <v>7334794880007008</v>
      </c>
    </row>
    <row r="283" spans="8:10" ht="15" customHeight="1">
      <c r="H283" s="23">
        <v>0.11250000000000002</v>
      </c>
      <c r="I283" s="23">
        <v>0.13125000000000003</v>
      </c>
      <c r="J283" s="19">
        <v>7332866568198552</v>
      </c>
    </row>
    <row r="284" spans="8:10" ht="15" customHeight="1">
      <c r="H284" s="23">
        <v>0.11250000000000002</v>
      </c>
      <c r="I284" s="23">
        <v>0.13500000000000001</v>
      </c>
      <c r="J284" s="19">
        <v>7330976723495072</v>
      </c>
    </row>
    <row r="285" spans="8:10" ht="15" customHeight="1">
      <c r="H285" s="23">
        <v>0.11250000000000002</v>
      </c>
      <c r="I285" s="23">
        <v>0.13875000000000001</v>
      </c>
      <c r="J285" s="19">
        <v>7329127917063136</v>
      </c>
    </row>
    <row r="286" spans="8:10" ht="15" customHeight="1">
      <c r="H286" s="23">
        <v>0.11250000000000002</v>
      </c>
      <c r="I286" s="23">
        <v>0.14250000000000002</v>
      </c>
      <c r="J286" s="19">
        <v>7327318778698032</v>
      </c>
    </row>
    <row r="287" spans="8:10" ht="15" customHeight="1">
      <c r="H287" s="23">
        <v>0.11250000000000002</v>
      </c>
      <c r="I287" s="23">
        <v>0.14625000000000002</v>
      </c>
      <c r="J287" s="19">
        <v>7325551296811320</v>
      </c>
    </row>
    <row r="288" spans="8:10" ht="15" customHeight="1">
      <c r="H288" s="23">
        <v>0.11250000000000002</v>
      </c>
      <c r="I288" s="23">
        <v>0.15000000000000002</v>
      </c>
      <c r="J288" s="19">
        <v>7323822868527544</v>
      </c>
    </row>
    <row r="289" spans="8:10" ht="15" customHeight="1">
      <c r="H289" s="23">
        <v>0.13125000000000003</v>
      </c>
      <c r="I289" s="23">
        <v>0</v>
      </c>
      <c r="J289" s="19">
        <v>7415412232285224</v>
      </c>
    </row>
    <row r="290" spans="8:10" ht="15" customHeight="1">
      <c r="H290" s="23">
        <v>0.13125000000000003</v>
      </c>
      <c r="I290" s="23">
        <v>3.7500000000000007E-3</v>
      </c>
      <c r="J290" s="19">
        <v>7415785524988872</v>
      </c>
    </row>
    <row r="291" spans="8:10" ht="15" customHeight="1">
      <c r="H291" s="23">
        <v>0.13125000000000003</v>
      </c>
      <c r="I291" s="23">
        <v>7.5000000000000015E-3</v>
      </c>
      <c r="J291" s="19">
        <v>7413595334472360</v>
      </c>
    </row>
    <row r="292" spans="8:10" ht="15" customHeight="1">
      <c r="H292" s="23">
        <v>0.13125000000000003</v>
      </c>
      <c r="I292" s="23">
        <v>1.1250000000000001E-2</v>
      </c>
      <c r="J292" s="19">
        <v>7411048868934120</v>
      </c>
    </row>
    <row r="293" spans="8:10" ht="15" customHeight="1">
      <c r="H293" s="23">
        <v>0.13125000000000003</v>
      </c>
      <c r="I293" s="23">
        <v>1.5000000000000003E-2</v>
      </c>
      <c r="J293" s="19">
        <v>7408305257869496</v>
      </c>
    </row>
    <row r="294" spans="8:10" ht="15" customHeight="1">
      <c r="H294" s="23">
        <v>0.13125000000000003</v>
      </c>
      <c r="I294" s="23">
        <v>1.8750000000000003E-2</v>
      </c>
      <c r="J294" s="19">
        <v>7405574868704376</v>
      </c>
    </row>
    <row r="295" spans="8:10" ht="15" customHeight="1">
      <c r="H295" s="23">
        <v>0.13125000000000003</v>
      </c>
      <c r="I295" s="23">
        <v>2.2500000000000003E-2</v>
      </c>
      <c r="J295" s="19">
        <v>7402839491036936</v>
      </c>
    </row>
    <row r="296" spans="8:10" ht="15" customHeight="1">
      <c r="H296" s="23">
        <v>0.13125000000000003</v>
      </c>
      <c r="I296" s="23">
        <v>2.6250000000000002E-2</v>
      </c>
      <c r="J296" s="19">
        <v>7400144603421464</v>
      </c>
    </row>
    <row r="297" spans="8:10" ht="15" customHeight="1">
      <c r="H297" s="23">
        <v>0.13125000000000003</v>
      </c>
      <c r="I297" s="23">
        <v>3.0000000000000006E-2</v>
      </c>
      <c r="J297" s="19">
        <v>7397460645813496</v>
      </c>
    </row>
    <row r="298" spans="8:10" ht="15" customHeight="1">
      <c r="H298" s="23">
        <v>0.13125000000000003</v>
      </c>
      <c r="I298" s="23">
        <v>3.3750000000000002E-2</v>
      </c>
      <c r="J298" s="19">
        <v>7394810073216952</v>
      </c>
    </row>
    <row r="299" spans="8:10" ht="15" customHeight="1">
      <c r="H299" s="23">
        <v>0.13125000000000003</v>
      </c>
      <c r="I299" s="23">
        <v>3.7500000000000006E-2</v>
      </c>
      <c r="J299" s="19">
        <v>7392175773145480</v>
      </c>
    </row>
    <row r="300" spans="8:10" ht="15" customHeight="1">
      <c r="H300" s="23">
        <v>0.13125000000000003</v>
      </c>
      <c r="I300" s="23">
        <v>4.1250000000000009E-2</v>
      </c>
      <c r="J300" s="19">
        <v>7389571984848672</v>
      </c>
    </row>
    <row r="301" spans="8:10" ht="15" customHeight="1">
      <c r="H301" s="23">
        <v>0.13125000000000003</v>
      </c>
      <c r="I301" s="23">
        <v>4.5000000000000005E-2</v>
      </c>
      <c r="J301" s="19">
        <v>7386987444317544</v>
      </c>
    </row>
    <row r="302" spans="8:10" ht="15" customHeight="1">
      <c r="H302" s="23">
        <v>0.13125000000000003</v>
      </c>
      <c r="I302" s="23">
        <v>4.8750000000000009E-2</v>
      </c>
      <c r="J302" s="19">
        <v>7384432165725776</v>
      </c>
    </row>
    <row r="303" spans="8:10" ht="15" customHeight="1">
      <c r="H303" s="23">
        <v>0.13125000000000003</v>
      </c>
      <c r="I303" s="23">
        <v>5.2500000000000005E-2</v>
      </c>
      <c r="J303" s="19">
        <v>7381898143346184</v>
      </c>
    </row>
    <row r="304" spans="8:10" ht="15" customHeight="1">
      <c r="H304" s="23">
        <v>0.13125000000000003</v>
      </c>
      <c r="I304" s="23">
        <v>5.6250000000000008E-2</v>
      </c>
      <c r="J304" s="19">
        <v>7379392939031592</v>
      </c>
    </row>
    <row r="305" spans="8:10" ht="15" customHeight="1">
      <c r="H305" s="23">
        <v>0.13125000000000003</v>
      </c>
      <c r="I305" s="23">
        <v>6.0000000000000012E-2</v>
      </c>
      <c r="J305" s="19">
        <v>7376910556543816</v>
      </c>
    </row>
    <row r="306" spans="8:10" ht="15" customHeight="1">
      <c r="H306" s="23">
        <v>0.13125000000000003</v>
      </c>
      <c r="I306" s="23">
        <v>6.3750000000000015E-2</v>
      </c>
      <c r="J306" s="19">
        <v>7374457019066136</v>
      </c>
    </row>
    <row r="307" spans="8:10" ht="15" customHeight="1">
      <c r="H307" s="23">
        <v>0.13125000000000003</v>
      </c>
      <c r="I307" s="23">
        <v>6.7500000000000004E-2</v>
      </c>
      <c r="J307" s="19">
        <v>7372027661041456</v>
      </c>
    </row>
    <row r="308" spans="8:10" ht="15" customHeight="1">
      <c r="H308" s="23">
        <v>0.13125000000000003</v>
      </c>
      <c r="I308" s="23">
        <v>7.1250000000000008E-2</v>
      </c>
      <c r="J308" s="19">
        <v>7369627485959840</v>
      </c>
    </row>
    <row r="309" spans="8:10" ht="15" customHeight="1">
      <c r="H309" s="23">
        <v>0.13125000000000003</v>
      </c>
      <c r="I309" s="23">
        <v>7.5000000000000011E-2</v>
      </c>
      <c r="J309" s="19">
        <v>7367252756161112</v>
      </c>
    </row>
    <row r="310" spans="8:10" ht="15" customHeight="1">
      <c r="H310" s="23">
        <v>0.13125000000000003</v>
      </c>
      <c r="I310" s="23">
        <v>7.8750000000000014E-2</v>
      </c>
      <c r="J310" s="19">
        <v>7364907771008120</v>
      </c>
    </row>
    <row r="311" spans="8:10" ht="15" customHeight="1">
      <c r="H311" s="23">
        <v>0.13125000000000003</v>
      </c>
      <c r="I311" s="23">
        <v>8.2500000000000018E-2</v>
      </c>
      <c r="J311" s="19">
        <v>7362589463920248</v>
      </c>
    </row>
    <row r="312" spans="8:10" ht="15" customHeight="1">
      <c r="H312" s="23">
        <v>0.13125000000000003</v>
      </c>
      <c r="I312" s="23">
        <v>8.6250000000000007E-2</v>
      </c>
      <c r="J312" s="19">
        <v>7360301631090280</v>
      </c>
    </row>
    <row r="313" spans="8:10" ht="15" customHeight="1">
      <c r="H313" s="23">
        <v>0.13125000000000003</v>
      </c>
      <c r="I313" s="23">
        <v>9.0000000000000011E-2</v>
      </c>
      <c r="J313" s="19">
        <v>7358041702118632</v>
      </c>
    </row>
    <row r="314" spans="8:10" ht="15" customHeight="1">
      <c r="H314" s="23">
        <v>0.13125000000000003</v>
      </c>
      <c r="I314" s="23">
        <v>9.3750000000000014E-2</v>
      </c>
      <c r="J314" s="19">
        <v>7355813101347288</v>
      </c>
    </row>
    <row r="315" spans="8:10" ht="15" customHeight="1">
      <c r="H315" s="23">
        <v>0.13125000000000003</v>
      </c>
      <c r="I315" s="23">
        <v>9.7500000000000017E-2</v>
      </c>
      <c r="J315" s="19">
        <v>7353613627294384</v>
      </c>
    </row>
    <row r="316" spans="8:10" ht="15" customHeight="1">
      <c r="H316" s="23">
        <v>0.13125000000000003</v>
      </c>
      <c r="I316" s="23">
        <v>0.10125000000000002</v>
      </c>
      <c r="J316" s="19">
        <v>7351446418460736</v>
      </c>
    </row>
    <row r="317" spans="8:10" ht="15" customHeight="1">
      <c r="H317" s="23">
        <v>0.13125000000000003</v>
      </c>
      <c r="I317" s="23">
        <v>0.10500000000000001</v>
      </c>
      <c r="J317" s="19">
        <v>7349309542955912</v>
      </c>
    </row>
    <row r="318" spans="8:10" ht="15" customHeight="1">
      <c r="H318" s="23">
        <v>0.13125000000000003</v>
      </c>
      <c r="I318" s="23">
        <v>0.10875000000000001</v>
      </c>
      <c r="J318" s="19">
        <v>7347205907883480</v>
      </c>
    </row>
    <row r="319" spans="8:10" ht="15" customHeight="1">
      <c r="H319" s="23">
        <v>0.13125000000000003</v>
      </c>
      <c r="I319" s="23">
        <v>0.11250000000000002</v>
      </c>
      <c r="J319" s="19">
        <v>7345133767322096</v>
      </c>
    </row>
    <row r="320" spans="8:10" ht="15" customHeight="1">
      <c r="H320" s="23">
        <v>0.13125000000000003</v>
      </c>
      <c r="I320" s="23">
        <v>0.11625000000000002</v>
      </c>
      <c r="J320" s="19">
        <v>7343095827538680</v>
      </c>
    </row>
    <row r="321" spans="8:10" ht="15" customHeight="1">
      <c r="H321" s="23">
        <v>0.13125000000000003</v>
      </c>
      <c r="I321" s="23">
        <v>0.12000000000000002</v>
      </c>
      <c r="J321" s="19">
        <v>7341090452096464</v>
      </c>
    </row>
    <row r="322" spans="8:10" ht="15" customHeight="1">
      <c r="H322" s="23">
        <v>0.13125000000000003</v>
      </c>
      <c r="I322" s="23">
        <v>0.12375000000000001</v>
      </c>
      <c r="J322" s="19">
        <v>7339120157021640</v>
      </c>
    </row>
    <row r="323" spans="8:10" ht="15" customHeight="1">
      <c r="H323" s="23">
        <v>0.13125000000000003</v>
      </c>
      <c r="I323" s="23">
        <v>0.12750000000000003</v>
      </c>
      <c r="J323" s="19">
        <v>7337183340236800</v>
      </c>
    </row>
    <row r="324" spans="8:10" ht="15" customHeight="1">
      <c r="H324" s="23">
        <v>0.13125000000000003</v>
      </c>
      <c r="I324" s="23">
        <v>0.13125000000000003</v>
      </c>
      <c r="J324" s="19">
        <v>7335282323715904</v>
      </c>
    </row>
    <row r="325" spans="8:10" ht="15" customHeight="1">
      <c r="H325" s="23">
        <v>0.13125000000000003</v>
      </c>
      <c r="I325" s="23">
        <v>0.13500000000000001</v>
      </c>
      <c r="J325" s="19">
        <v>7333415474263768</v>
      </c>
    </row>
    <row r="326" spans="8:10" ht="15" customHeight="1">
      <c r="H326" s="23">
        <v>0.13125000000000003</v>
      </c>
      <c r="I326" s="23">
        <v>0.13875000000000001</v>
      </c>
      <c r="J326" s="19">
        <v>7331584941282024</v>
      </c>
    </row>
    <row r="327" spans="8:10" ht="15" customHeight="1">
      <c r="H327" s="23">
        <v>0.13125000000000003</v>
      </c>
      <c r="I327" s="23">
        <v>0.14250000000000002</v>
      </c>
      <c r="J327" s="19">
        <v>7329789102231976</v>
      </c>
    </row>
    <row r="328" spans="8:10" ht="15" customHeight="1">
      <c r="H328" s="23">
        <v>0.13125000000000003</v>
      </c>
      <c r="I328" s="23">
        <v>0.14625000000000002</v>
      </c>
      <c r="J328" s="19">
        <v>7328030227278416</v>
      </c>
    </row>
    <row r="329" spans="8:10" ht="15" customHeight="1">
      <c r="H329" s="23">
        <v>0.13125000000000003</v>
      </c>
      <c r="I329" s="23">
        <v>0.15000000000000002</v>
      </c>
      <c r="J329" s="19">
        <v>7326307418380776</v>
      </c>
    </row>
    <row r="330" spans="8:10" ht="15" customHeight="1">
      <c r="H330" s="23">
        <v>0.15000000000000002</v>
      </c>
      <c r="I330" s="23">
        <v>0</v>
      </c>
      <c r="J330" s="19">
        <v>7416472816211384</v>
      </c>
    </row>
    <row r="331" spans="8:10" ht="15" customHeight="1">
      <c r="H331" s="23">
        <v>0.15000000000000002</v>
      </c>
      <c r="I331" s="23">
        <v>3.7500000000000007E-3</v>
      </c>
      <c r="J331" s="19">
        <v>7416869620868448</v>
      </c>
    </row>
    <row r="332" spans="8:10" ht="15" customHeight="1">
      <c r="H332" s="23">
        <v>0.15000000000000002</v>
      </c>
      <c r="I332" s="23">
        <v>7.5000000000000015E-3</v>
      </c>
      <c r="J332" s="19">
        <v>7414703844025992</v>
      </c>
    </row>
    <row r="333" spans="8:10" ht="15" customHeight="1">
      <c r="H333" s="23">
        <v>0.15000000000000002</v>
      </c>
      <c r="I333" s="23">
        <v>1.1250000000000001E-2</v>
      </c>
      <c r="J333" s="19">
        <v>7412182666734208</v>
      </c>
    </row>
    <row r="334" spans="8:10" ht="15" customHeight="1">
      <c r="H334" s="23">
        <v>0.15000000000000002</v>
      </c>
      <c r="I334" s="23">
        <v>1.5000000000000003E-2</v>
      </c>
      <c r="J334" s="19">
        <v>7409465210357560</v>
      </c>
    </row>
    <row r="335" spans="8:10" ht="15" customHeight="1">
      <c r="H335" s="23">
        <v>0.15000000000000002</v>
      </c>
      <c r="I335" s="23">
        <v>1.8750000000000003E-2</v>
      </c>
      <c r="J335" s="19">
        <v>7406761832077424</v>
      </c>
    </row>
    <row r="336" spans="8:10" ht="15" customHeight="1">
      <c r="H336" s="23">
        <v>0.15000000000000002</v>
      </c>
      <c r="I336" s="23">
        <v>2.2500000000000003E-2</v>
      </c>
      <c r="J336" s="19">
        <v>7404054311319256</v>
      </c>
    </row>
    <row r="337" spans="8:10" ht="15" customHeight="1">
      <c r="H337" s="23">
        <v>0.15000000000000002</v>
      </c>
      <c r="I337" s="23">
        <v>2.6250000000000002E-2</v>
      </c>
      <c r="J337" s="19">
        <v>7401388113084192</v>
      </c>
    </row>
    <row r="338" spans="8:10" ht="15" customHeight="1">
      <c r="H338" s="23">
        <v>0.15000000000000002</v>
      </c>
      <c r="I338" s="23">
        <v>3.0000000000000006E-2</v>
      </c>
      <c r="J338" s="19">
        <v>7398733661124680</v>
      </c>
    </row>
    <row r="339" spans="8:10" ht="15" customHeight="1">
      <c r="H339" s="23">
        <v>0.15000000000000002</v>
      </c>
      <c r="I339" s="23">
        <v>3.3750000000000002E-2</v>
      </c>
      <c r="J339" s="19">
        <v>7396113389694520</v>
      </c>
    </row>
    <row r="340" spans="8:10" ht="15" customHeight="1">
      <c r="H340" s="23">
        <v>0.15000000000000002</v>
      </c>
      <c r="I340" s="23">
        <v>3.7500000000000006E-2</v>
      </c>
      <c r="J340" s="19">
        <v>7393510161262920</v>
      </c>
    </row>
    <row r="341" spans="8:10" ht="15" customHeight="1">
      <c r="H341" s="23">
        <v>0.15000000000000002</v>
      </c>
      <c r="I341" s="23">
        <v>4.1250000000000009E-2</v>
      </c>
      <c r="J341" s="19">
        <v>7390938184365576</v>
      </c>
    </row>
    <row r="342" spans="8:10" ht="15" customHeight="1">
      <c r="H342" s="23">
        <v>0.15000000000000002</v>
      </c>
      <c r="I342" s="23">
        <v>4.5000000000000005E-2</v>
      </c>
      <c r="J342" s="19">
        <v>7388386158484248</v>
      </c>
    </row>
    <row r="343" spans="8:10" ht="15" customHeight="1">
      <c r="H343" s="23">
        <v>0.15000000000000002</v>
      </c>
      <c r="I343" s="23">
        <v>4.8750000000000009E-2</v>
      </c>
      <c r="J343" s="19">
        <v>7385864054329328</v>
      </c>
    </row>
    <row r="344" spans="8:10" ht="15" customHeight="1">
      <c r="H344" s="23">
        <v>0.15000000000000002</v>
      </c>
      <c r="I344" s="23">
        <v>5.2500000000000005E-2</v>
      </c>
      <c r="J344" s="19">
        <v>7383363815447464</v>
      </c>
    </row>
    <row r="345" spans="8:10" ht="15" customHeight="1">
      <c r="H345" s="23">
        <v>0.15000000000000002</v>
      </c>
      <c r="I345" s="23">
        <v>5.6250000000000008E-2</v>
      </c>
      <c r="J345" s="19">
        <v>7380892944686088</v>
      </c>
    </row>
    <row r="346" spans="8:10" ht="15" customHeight="1">
      <c r="H346" s="23">
        <v>0.15000000000000002</v>
      </c>
      <c r="I346" s="23">
        <v>6.0000000000000012E-2</v>
      </c>
      <c r="J346" s="19">
        <v>7378445378150952</v>
      </c>
    </row>
    <row r="347" spans="8:10" ht="15" customHeight="1">
      <c r="H347" s="23">
        <v>0.15000000000000002</v>
      </c>
      <c r="I347" s="23">
        <v>6.3750000000000015E-2</v>
      </c>
      <c r="J347" s="19">
        <v>7376027061849424</v>
      </c>
    </row>
    <row r="348" spans="8:10" ht="15" customHeight="1">
      <c r="H348" s="23">
        <v>0.15000000000000002</v>
      </c>
      <c r="I348" s="23">
        <v>6.7500000000000004E-2</v>
      </c>
      <c r="J348" s="19">
        <v>7373633243201408</v>
      </c>
    </row>
    <row r="349" spans="8:10" ht="15" customHeight="1">
      <c r="H349" s="23">
        <v>0.15000000000000002</v>
      </c>
      <c r="I349" s="23">
        <v>7.1250000000000008E-2</v>
      </c>
      <c r="J349" s="19">
        <v>7371268828160464</v>
      </c>
    </row>
    <row r="350" spans="8:10" ht="15" customHeight="1">
      <c r="H350" s="23">
        <v>0.15000000000000002</v>
      </c>
      <c r="I350" s="23">
        <v>7.5000000000000011E-2</v>
      </c>
      <c r="J350" s="19">
        <v>7368929970850584</v>
      </c>
    </row>
    <row r="351" spans="8:10" ht="15" customHeight="1">
      <c r="H351" s="23">
        <v>0.15000000000000002</v>
      </c>
      <c r="I351" s="23">
        <v>7.8750000000000014E-2</v>
      </c>
      <c r="J351" s="19">
        <v>7366620851372200</v>
      </c>
    </row>
    <row r="352" spans="8:10" ht="15" customHeight="1">
      <c r="H352" s="23">
        <v>0.15000000000000002</v>
      </c>
      <c r="I352" s="23">
        <v>8.2500000000000018E-2</v>
      </c>
      <c r="J352" s="19">
        <v>7364338272968752</v>
      </c>
    </row>
    <row r="353" spans="8:10" ht="15" customHeight="1">
      <c r="H353" s="23">
        <v>0.15000000000000002</v>
      </c>
      <c r="I353" s="23">
        <v>8.6250000000000007E-2</v>
      </c>
      <c r="J353" s="19">
        <v>7362085890807488</v>
      </c>
    </row>
    <row r="354" spans="8:10" ht="15" customHeight="1">
      <c r="H354" s="23">
        <v>0.15000000000000002</v>
      </c>
      <c r="I354" s="23">
        <v>9.0000000000000011E-2</v>
      </c>
      <c r="J354" s="19">
        <v>7359860983217576</v>
      </c>
    </row>
    <row r="355" spans="8:10" ht="15" customHeight="1">
      <c r="H355" s="23">
        <v>0.15000000000000002</v>
      </c>
      <c r="I355" s="23">
        <v>9.3750000000000014E-2</v>
      </c>
      <c r="J355" s="19">
        <v>7357666813697552</v>
      </c>
    </row>
    <row r="356" spans="8:10" ht="15" customHeight="1">
      <c r="H356" s="23">
        <v>0.15000000000000002</v>
      </c>
      <c r="I356" s="23">
        <v>9.7500000000000017E-2</v>
      </c>
      <c r="J356" s="19">
        <v>7355501011651040</v>
      </c>
    </row>
    <row r="357" spans="8:10" ht="15" customHeight="1">
      <c r="H357" s="23">
        <v>0.15000000000000002</v>
      </c>
      <c r="I357" s="23">
        <v>0.10125000000000002</v>
      </c>
      <c r="J357" s="19">
        <v>7353366539749256</v>
      </c>
    </row>
    <row r="358" spans="8:10" ht="15" customHeight="1">
      <c r="H358" s="23">
        <v>0.15000000000000002</v>
      </c>
      <c r="I358" s="23">
        <v>0.10500000000000001</v>
      </c>
      <c r="J358" s="19">
        <v>7351261285921904</v>
      </c>
    </row>
    <row r="359" spans="8:10" ht="15" customHeight="1">
      <c r="H359" s="23">
        <v>0.15000000000000002</v>
      </c>
      <c r="I359" s="23">
        <v>0.10875000000000001</v>
      </c>
      <c r="J359" s="19">
        <v>7349187975674200</v>
      </c>
    </row>
    <row r="360" spans="8:10" ht="15" customHeight="1">
      <c r="H360" s="23">
        <v>0.15000000000000002</v>
      </c>
      <c r="I360" s="23">
        <v>0.11250000000000002</v>
      </c>
      <c r="J360" s="19">
        <v>7347144684192752</v>
      </c>
    </row>
    <row r="361" spans="8:10" ht="15" customHeight="1">
      <c r="H361" s="23">
        <v>0.15000000000000002</v>
      </c>
      <c r="I361" s="23">
        <v>0.11625000000000002</v>
      </c>
      <c r="J361" s="19">
        <v>7345133946814224</v>
      </c>
    </row>
    <row r="362" spans="8:10" ht="15" customHeight="1">
      <c r="H362" s="23">
        <v>0.15000000000000002</v>
      </c>
      <c r="I362" s="23">
        <v>0.12000000000000002</v>
      </c>
      <c r="J362" s="19">
        <v>7343153971220432</v>
      </c>
    </row>
    <row r="363" spans="8:10" ht="15" customHeight="1">
      <c r="H363" s="23">
        <v>0.15000000000000002</v>
      </c>
      <c r="I363" s="23">
        <v>0.12375000000000001</v>
      </c>
      <c r="J363" s="19">
        <v>7341207141397408</v>
      </c>
    </row>
    <row r="364" spans="8:10" ht="15" customHeight="1">
      <c r="H364" s="23">
        <v>0.15000000000000002</v>
      </c>
      <c r="I364" s="23">
        <v>0.12750000000000003</v>
      </c>
      <c r="J364" s="19">
        <v>7339291757481520</v>
      </c>
    </row>
    <row r="365" spans="8:10" ht="15" customHeight="1">
      <c r="H365" s="23">
        <v>0.15000000000000002</v>
      </c>
      <c r="I365" s="23">
        <v>0.13125000000000003</v>
      </c>
      <c r="J365" s="19">
        <v>7337410087303696</v>
      </c>
    </row>
    <row r="366" spans="8:10" ht="15" customHeight="1">
      <c r="H366" s="23">
        <v>0.15000000000000002</v>
      </c>
      <c r="I366" s="23">
        <v>0.13500000000000001</v>
      </c>
      <c r="J366" s="19">
        <v>7335560488574696</v>
      </c>
    </row>
    <row r="367" spans="8:10" ht="15" customHeight="1">
      <c r="H367" s="23">
        <v>0.15000000000000002</v>
      </c>
      <c r="I367" s="23">
        <v>0.13875000000000001</v>
      </c>
      <c r="J367" s="19">
        <v>7333745120676064</v>
      </c>
    </row>
    <row r="368" spans="8:10" ht="15" customHeight="1">
      <c r="H368" s="23">
        <v>0.15000000000000002</v>
      </c>
      <c r="I368" s="23">
        <v>0.14250000000000002</v>
      </c>
      <c r="J368" s="19">
        <v>7331962291086680</v>
      </c>
    </row>
    <row r="369" spans="8:10" ht="15" customHeight="1">
      <c r="H369" s="23">
        <v>0.15000000000000002</v>
      </c>
      <c r="I369" s="23">
        <v>0.14625000000000002</v>
      </c>
      <c r="J369" s="19">
        <v>7330213842567712</v>
      </c>
    </row>
    <row r="370" spans="8:10" ht="15" customHeight="1">
      <c r="H370" s="23">
        <v>0.15000000000000002</v>
      </c>
      <c r="I370" s="23">
        <v>0.15000000000000002</v>
      </c>
      <c r="J370" s="19">
        <v>7328497404828904</v>
      </c>
    </row>
    <row r="371" spans="8:10" ht="15" customHeight="1">
      <c r="H371" s="23">
        <v>0.16875000000000001</v>
      </c>
      <c r="I371" s="23">
        <v>0</v>
      </c>
      <c r="J371" s="19">
        <v>7417559176787040</v>
      </c>
    </row>
    <row r="372" spans="8:10" ht="15" customHeight="1">
      <c r="H372" s="23">
        <v>0.16875000000000001</v>
      </c>
      <c r="I372" s="23">
        <v>3.7500000000000007E-3</v>
      </c>
      <c r="J372" s="19">
        <v>7417975697345568</v>
      </c>
    </row>
    <row r="373" spans="8:10" ht="15" customHeight="1">
      <c r="H373" s="23">
        <v>0.16875000000000001</v>
      </c>
      <c r="I373" s="23">
        <v>7.5000000000000015E-3</v>
      </c>
      <c r="J373" s="19">
        <v>7415830340277912</v>
      </c>
    </row>
    <row r="374" spans="8:10" ht="15" customHeight="1">
      <c r="H374" s="23">
        <v>0.16875000000000001</v>
      </c>
      <c r="I374" s="23">
        <v>1.1250000000000001E-2</v>
      </c>
      <c r="J374" s="19">
        <v>7413330247426688</v>
      </c>
    </row>
    <row r="375" spans="8:10" ht="15" customHeight="1">
      <c r="H375" s="23">
        <v>0.16875000000000001</v>
      </c>
      <c r="I375" s="23">
        <v>1.5000000000000003E-2</v>
      </c>
      <c r="J375" s="19">
        <v>7410634519955768</v>
      </c>
    </row>
    <row r="376" spans="8:10" ht="15" customHeight="1">
      <c r="H376" s="23">
        <v>0.16875000000000001</v>
      </c>
      <c r="I376" s="23">
        <v>1.8750000000000003E-2</v>
      </c>
      <c r="J376" s="19">
        <v>7407953492482352</v>
      </c>
    </row>
    <row r="377" spans="8:10" ht="15" customHeight="1">
      <c r="H377" s="23">
        <v>0.16875000000000001</v>
      </c>
      <c r="I377" s="23">
        <v>2.2500000000000003E-2</v>
      </c>
      <c r="J377" s="19">
        <v>7405268922046512</v>
      </c>
    </row>
    <row r="378" spans="8:10" ht="15" customHeight="1">
      <c r="H378" s="23">
        <v>0.16875000000000001</v>
      </c>
      <c r="I378" s="23">
        <v>2.6250000000000002E-2</v>
      </c>
      <c r="J378" s="19">
        <v>7402626248176152</v>
      </c>
    </row>
    <row r="379" spans="8:10" ht="15" customHeight="1">
      <c r="H379" s="23">
        <v>0.16875000000000001</v>
      </c>
      <c r="I379" s="23">
        <v>3.0000000000000006E-2</v>
      </c>
      <c r="J379" s="19">
        <v>7399995867097608</v>
      </c>
    </row>
    <row r="380" spans="8:10" ht="15" customHeight="1">
      <c r="H380" s="23">
        <v>0.16875000000000001</v>
      </c>
      <c r="I380" s="23">
        <v>3.3750000000000002E-2</v>
      </c>
      <c r="J380" s="19">
        <v>7397400181837224</v>
      </c>
    </row>
    <row r="381" spans="8:10" ht="15" customHeight="1">
      <c r="H381" s="23">
        <v>0.16875000000000001</v>
      </c>
      <c r="I381" s="23">
        <v>3.7500000000000006E-2</v>
      </c>
      <c r="J381" s="19">
        <v>7394822020510920</v>
      </c>
    </row>
    <row r="382" spans="8:10" ht="15" customHeight="1">
      <c r="H382" s="23">
        <v>0.16875000000000001</v>
      </c>
      <c r="I382" s="23">
        <v>4.1250000000000009E-2</v>
      </c>
      <c r="J382" s="19">
        <v>7392275553103800</v>
      </c>
    </row>
    <row r="383" spans="8:10" ht="15" customHeight="1">
      <c r="H383" s="23">
        <v>0.16875000000000001</v>
      </c>
      <c r="I383" s="23">
        <v>4.5000000000000005E-2</v>
      </c>
      <c r="J383" s="19">
        <v>7389749436587616</v>
      </c>
    </row>
    <row r="384" spans="8:10" ht="15" customHeight="1">
      <c r="H384" s="23">
        <v>0.16875000000000001</v>
      </c>
      <c r="I384" s="23">
        <v>4.8750000000000009E-2</v>
      </c>
      <c r="J384" s="19">
        <v>7387253594405000</v>
      </c>
    </row>
    <row r="385" spans="8:10" ht="15" customHeight="1">
      <c r="H385" s="23">
        <v>0.16875000000000001</v>
      </c>
      <c r="I385" s="23">
        <v>5.2500000000000005E-2</v>
      </c>
      <c r="J385" s="19">
        <v>7384779918177336</v>
      </c>
    </row>
    <row r="386" spans="8:10" ht="15" customHeight="1">
      <c r="H386" s="23">
        <v>0.16875000000000001</v>
      </c>
      <c r="I386" s="23">
        <v>5.6250000000000008E-2</v>
      </c>
      <c r="J386" s="19">
        <v>7382335853560640</v>
      </c>
    </row>
    <row r="387" spans="8:10" ht="15" customHeight="1">
      <c r="H387" s="23">
        <v>0.16875000000000001</v>
      </c>
      <c r="I387" s="23">
        <v>6.0000000000000012E-2</v>
      </c>
      <c r="J387" s="19">
        <v>7379915274271232</v>
      </c>
    </row>
    <row r="388" spans="8:10" ht="15" customHeight="1">
      <c r="H388" s="23">
        <v>0.16875000000000001</v>
      </c>
      <c r="I388" s="23">
        <v>6.3750000000000015E-2</v>
      </c>
      <c r="J388" s="19">
        <v>7377524058292368</v>
      </c>
    </row>
    <row r="389" spans="8:10" ht="15" customHeight="1">
      <c r="H389" s="23">
        <v>0.16875000000000001</v>
      </c>
      <c r="I389" s="23">
        <v>6.7500000000000004E-2</v>
      </c>
      <c r="J389" s="19">
        <v>7375157379496704</v>
      </c>
    </row>
    <row r="390" spans="8:10" ht="15" customHeight="1">
      <c r="H390" s="23">
        <v>0.16875000000000001</v>
      </c>
      <c r="I390" s="23">
        <v>7.1250000000000008E-2</v>
      </c>
      <c r="J390" s="19">
        <v>7372820064513160</v>
      </c>
    </row>
    <row r="391" spans="8:10" ht="15" customHeight="1">
      <c r="H391" s="23">
        <v>0.16875000000000001</v>
      </c>
      <c r="I391" s="23">
        <v>7.5000000000000011E-2</v>
      </c>
      <c r="J391" s="19">
        <v>7370508182579600</v>
      </c>
    </row>
    <row r="392" spans="8:10" ht="15" customHeight="1">
      <c r="H392" s="23">
        <v>0.16875000000000001</v>
      </c>
      <c r="I392" s="23">
        <v>7.8750000000000014E-2</v>
      </c>
      <c r="J392" s="19">
        <v>7368225823297904</v>
      </c>
    </row>
    <row r="393" spans="8:10" ht="15" customHeight="1">
      <c r="H393" s="23">
        <v>0.16875000000000001</v>
      </c>
      <c r="I393" s="23">
        <v>8.2500000000000018E-2</v>
      </c>
      <c r="J393" s="19">
        <v>7365969694169336</v>
      </c>
    </row>
    <row r="394" spans="8:10" ht="15" customHeight="1">
      <c r="H394" s="23">
        <v>0.16875000000000001</v>
      </c>
      <c r="I394" s="23">
        <v>8.6250000000000007E-2</v>
      </c>
      <c r="J394" s="19">
        <v>7363743349540768</v>
      </c>
    </row>
    <row r="395" spans="8:10" ht="15" customHeight="1">
      <c r="H395" s="23">
        <v>0.16875000000000001</v>
      </c>
      <c r="I395" s="23">
        <v>9.0000000000000011E-2</v>
      </c>
      <c r="J395" s="19">
        <v>7361543962380792</v>
      </c>
    </row>
    <row r="396" spans="8:10" ht="15" customHeight="1">
      <c r="H396" s="23">
        <v>0.16875000000000001</v>
      </c>
      <c r="I396" s="23">
        <v>9.3750000000000014E-2</v>
      </c>
      <c r="J396" s="19">
        <v>7359374686644816</v>
      </c>
    </row>
    <row r="397" spans="8:10" ht="15" customHeight="1">
      <c r="H397" s="23">
        <v>0.16875000000000001</v>
      </c>
      <c r="I397" s="23">
        <v>9.7500000000000017E-2</v>
      </c>
      <c r="J397" s="19">
        <v>7357233038662288</v>
      </c>
    </row>
    <row r="398" spans="8:10" ht="15" customHeight="1">
      <c r="H398" s="23">
        <v>0.16875000000000001</v>
      </c>
      <c r="I398" s="23">
        <v>0.10125000000000002</v>
      </c>
      <c r="J398" s="19">
        <v>7355121864915976</v>
      </c>
    </row>
    <row r="399" spans="8:10" ht="15" customHeight="1">
      <c r="H399" s="23">
        <v>0.16875000000000001</v>
      </c>
      <c r="I399" s="23">
        <v>0.10500000000000001</v>
      </c>
      <c r="J399" s="19">
        <v>7353038934573224</v>
      </c>
    </row>
    <row r="400" spans="8:10" ht="15" customHeight="1">
      <c r="H400" s="23">
        <v>0.16875000000000001</v>
      </c>
      <c r="I400" s="23">
        <v>0.10875000000000001</v>
      </c>
      <c r="J400" s="19">
        <v>7350986851898768</v>
      </c>
    </row>
    <row r="401" spans="8:10" ht="15" customHeight="1">
      <c r="H401" s="23">
        <v>0.16875000000000001</v>
      </c>
      <c r="I401" s="23">
        <v>0.11250000000000002</v>
      </c>
      <c r="J401" s="19">
        <v>7348963568206992</v>
      </c>
    </row>
    <row r="402" spans="8:10" ht="15" customHeight="1">
      <c r="H402" s="23">
        <v>0.16875000000000001</v>
      </c>
      <c r="I402" s="23">
        <v>0.11625000000000002</v>
      </c>
      <c r="J402" s="19">
        <v>7346971491254120</v>
      </c>
    </row>
    <row r="403" spans="8:10" ht="15" customHeight="1">
      <c r="H403" s="23">
        <v>0.16875000000000001</v>
      </c>
      <c r="I403" s="23">
        <v>0.12000000000000002</v>
      </c>
      <c r="J403" s="19">
        <v>7345008695474328</v>
      </c>
    </row>
    <row r="404" spans="8:10" ht="15" customHeight="1">
      <c r="H404" s="23">
        <v>0.16875000000000001</v>
      </c>
      <c r="I404" s="23">
        <v>0.12375000000000001</v>
      </c>
      <c r="J404" s="19">
        <v>7343077422495504</v>
      </c>
    </row>
    <row r="405" spans="8:10" ht="15" customHeight="1">
      <c r="H405" s="23">
        <v>0.16875000000000001</v>
      </c>
      <c r="I405" s="23">
        <v>0.12750000000000003</v>
      </c>
      <c r="J405" s="19">
        <v>7341175816645336</v>
      </c>
    </row>
    <row r="406" spans="8:10" ht="15" customHeight="1">
      <c r="H406" s="23">
        <v>0.16875000000000001</v>
      </c>
      <c r="I406" s="23">
        <v>0.13125000000000003</v>
      </c>
      <c r="J406" s="19">
        <v>7339305972674656</v>
      </c>
    </row>
    <row r="407" spans="8:10" ht="15" customHeight="1">
      <c r="H407" s="23">
        <v>0.16875000000000001</v>
      </c>
      <c r="I407" s="23">
        <v>0.13500000000000001</v>
      </c>
      <c r="J407" s="19">
        <v>7337466060660400</v>
      </c>
    </row>
    <row r="408" spans="8:10" ht="15" customHeight="1">
      <c r="H408" s="23">
        <v>0.16875000000000001</v>
      </c>
      <c r="I408" s="23">
        <v>0.13875000000000001</v>
      </c>
      <c r="J408" s="19">
        <v>7335658061856832</v>
      </c>
    </row>
    <row r="409" spans="8:10" ht="15" customHeight="1">
      <c r="H409" s="23">
        <v>0.16875000000000001</v>
      </c>
      <c r="I409" s="23">
        <v>0.14250000000000002</v>
      </c>
      <c r="J409" s="19">
        <v>7333880197447624</v>
      </c>
    </row>
    <row r="410" spans="8:10" ht="15" customHeight="1">
      <c r="H410" s="23">
        <v>0.16875000000000001</v>
      </c>
      <c r="I410" s="23">
        <v>0.14625000000000002</v>
      </c>
      <c r="J410" s="19">
        <v>7332134539898280</v>
      </c>
    </row>
    <row r="411" spans="8:10" ht="15" customHeight="1">
      <c r="H411" s="23">
        <v>0.16875000000000001</v>
      </c>
      <c r="I411" s="23">
        <v>0.15000000000000002</v>
      </c>
      <c r="J411" s="19">
        <v>7330419816327152</v>
      </c>
    </row>
    <row r="412" spans="8:10" ht="15" customHeight="1">
      <c r="H412" s="23">
        <v>0.18750000000000003</v>
      </c>
      <c r="I412" s="23">
        <v>0</v>
      </c>
      <c r="J412" s="19">
        <v>7418654097800008</v>
      </c>
    </row>
    <row r="413" spans="8:10" ht="15" customHeight="1">
      <c r="H413" s="23">
        <v>0.18750000000000003</v>
      </c>
      <c r="I413" s="23">
        <v>3.7500000000000007E-3</v>
      </c>
      <c r="J413" s="19">
        <v>7419086925770408</v>
      </c>
    </row>
    <row r="414" spans="8:10" ht="15" customHeight="1">
      <c r="H414" s="23">
        <v>0.18750000000000003</v>
      </c>
      <c r="I414" s="23">
        <v>7.5000000000000015E-3</v>
      </c>
      <c r="J414" s="19">
        <v>7416958410723896</v>
      </c>
    </row>
    <row r="415" spans="8:10" ht="15" customHeight="1">
      <c r="H415" s="23">
        <v>0.18750000000000003</v>
      </c>
      <c r="I415" s="23">
        <v>1.1250000000000001E-2</v>
      </c>
      <c r="J415" s="19">
        <v>7414475650632672</v>
      </c>
    </row>
    <row r="416" spans="8:10" ht="15" customHeight="1">
      <c r="H416" s="23">
        <v>0.18750000000000003</v>
      </c>
      <c r="I416" s="23">
        <v>1.5000000000000003E-2</v>
      </c>
      <c r="J416" s="19">
        <v>7411797722301632</v>
      </c>
    </row>
    <row r="417" spans="8:10" ht="15" customHeight="1">
      <c r="H417" s="23">
        <v>0.18750000000000003</v>
      </c>
      <c r="I417" s="23">
        <v>1.8750000000000003E-2</v>
      </c>
      <c r="J417" s="19">
        <v>7409134933936560</v>
      </c>
    </row>
    <row r="418" spans="8:10" ht="15" customHeight="1">
      <c r="H418" s="23">
        <v>0.18750000000000003</v>
      </c>
      <c r="I418" s="23">
        <v>2.2500000000000003E-2</v>
      </c>
      <c r="J418" s="19">
        <v>7406469016771736</v>
      </c>
    </row>
    <row r="419" spans="8:10" ht="15" customHeight="1">
      <c r="H419" s="23">
        <v>0.18750000000000003</v>
      </c>
      <c r="I419" s="23">
        <v>2.6250000000000002E-2</v>
      </c>
      <c r="J419" s="19">
        <v>7403845381968880</v>
      </c>
    </row>
    <row r="420" spans="8:10" ht="15" customHeight="1">
      <c r="H420" s="23">
        <v>0.18750000000000003</v>
      </c>
      <c r="I420" s="23">
        <v>3.0000000000000006E-2</v>
      </c>
      <c r="J420" s="19">
        <v>7401234396038552</v>
      </c>
    </row>
    <row r="421" spans="8:10" ht="15" customHeight="1">
      <c r="H421" s="23">
        <v>0.18750000000000003</v>
      </c>
      <c r="I421" s="23">
        <v>3.3750000000000002E-2</v>
      </c>
      <c r="J421" s="19">
        <v>7398658429456048</v>
      </c>
    </row>
    <row r="422" spans="8:10" ht="15" customHeight="1">
      <c r="H422" s="23">
        <v>0.18750000000000003</v>
      </c>
      <c r="I422" s="23">
        <v>3.7500000000000006E-2</v>
      </c>
      <c r="J422" s="19">
        <v>7396100275720696</v>
      </c>
    </row>
    <row r="423" spans="8:10" ht="15" customHeight="1">
      <c r="H423" s="23">
        <v>0.18750000000000003</v>
      </c>
      <c r="I423" s="23">
        <v>4.1250000000000009E-2</v>
      </c>
      <c r="J423" s="19">
        <v>7393574067251688</v>
      </c>
    </row>
    <row r="424" spans="8:10" ht="15" customHeight="1">
      <c r="H424" s="23">
        <v>0.18750000000000003</v>
      </c>
      <c r="I424" s="23">
        <v>4.5000000000000005E-2</v>
      </c>
      <c r="J424" s="19">
        <v>7391068420948384</v>
      </c>
    </row>
    <row r="425" spans="8:10" ht="15" customHeight="1">
      <c r="H425" s="23">
        <v>0.18750000000000003</v>
      </c>
      <c r="I425" s="23">
        <v>4.8750000000000009E-2</v>
      </c>
      <c r="J425" s="19">
        <v>7388593217073760</v>
      </c>
    </row>
    <row r="426" spans="8:10" ht="15" customHeight="1">
      <c r="H426" s="23">
        <v>0.18750000000000003</v>
      </c>
      <c r="I426" s="23">
        <v>5.2500000000000005E-2</v>
      </c>
      <c r="J426" s="19">
        <v>7386140301268576</v>
      </c>
    </row>
    <row r="427" spans="8:10" ht="15" customHeight="1">
      <c r="H427" s="23">
        <v>0.18750000000000003</v>
      </c>
      <c r="I427" s="23">
        <v>5.6250000000000008E-2</v>
      </c>
      <c r="J427" s="19">
        <v>7383717069993256</v>
      </c>
    </row>
    <row r="428" spans="8:10" ht="15" customHeight="1">
      <c r="H428" s="23">
        <v>0.18750000000000003</v>
      </c>
      <c r="I428" s="23">
        <v>6.0000000000000012E-2</v>
      </c>
      <c r="J428" s="19">
        <v>7381317344815352</v>
      </c>
    </row>
    <row r="429" spans="8:10" ht="15" customHeight="1">
      <c r="H429" s="23">
        <v>0.18750000000000003</v>
      </c>
      <c r="I429" s="23">
        <v>6.3750000000000015E-2</v>
      </c>
      <c r="J429" s="19">
        <v>7378946948354312</v>
      </c>
    </row>
    <row r="430" spans="8:10" ht="15" customHeight="1">
      <c r="H430" s="23">
        <v>0.18750000000000003</v>
      </c>
      <c r="I430" s="23">
        <v>6.7500000000000004E-2</v>
      </c>
      <c r="J430" s="19">
        <v>7376600996178560</v>
      </c>
    </row>
    <row r="431" spans="8:10" ht="15" customHeight="1">
      <c r="H431" s="23">
        <v>0.18750000000000003</v>
      </c>
      <c r="I431" s="23">
        <v>7.1250000000000008E-2</v>
      </c>
      <c r="J431" s="19">
        <v>7374284253551864</v>
      </c>
    </row>
    <row r="432" spans="8:10" ht="15" customHeight="1">
      <c r="H432" s="23">
        <v>0.18750000000000003</v>
      </c>
      <c r="I432" s="23">
        <v>7.5000000000000011E-2</v>
      </c>
      <c r="J432" s="19">
        <v>7371992725615384</v>
      </c>
    </row>
    <row r="433" spans="8:10" ht="15" customHeight="1">
      <c r="H433" s="23">
        <v>0.18750000000000003</v>
      </c>
      <c r="I433" s="23">
        <v>7.8750000000000014E-2</v>
      </c>
      <c r="J433" s="19">
        <v>7369730435167760</v>
      </c>
    </row>
    <row r="434" spans="8:10" ht="15" customHeight="1">
      <c r="H434" s="23">
        <v>0.18750000000000003</v>
      </c>
      <c r="I434" s="23">
        <v>8.2500000000000018E-2</v>
      </c>
      <c r="J434" s="19">
        <v>7367494020618624</v>
      </c>
    </row>
    <row r="435" spans="8:10" ht="15" customHeight="1">
      <c r="H435" s="23">
        <v>0.18750000000000003</v>
      </c>
      <c r="I435" s="23">
        <v>8.6250000000000007E-2</v>
      </c>
      <c r="J435" s="19">
        <v>7365286965120488</v>
      </c>
    </row>
    <row r="436" spans="8:10" ht="15" customHeight="1">
      <c r="H436" s="23">
        <v>0.18750000000000003</v>
      </c>
      <c r="I436" s="23">
        <v>9.0000000000000011E-2</v>
      </c>
      <c r="J436" s="19">
        <v>7363106368892560</v>
      </c>
    </row>
    <row r="437" spans="8:10" ht="15" customHeight="1">
      <c r="H437" s="23">
        <v>0.18750000000000003</v>
      </c>
      <c r="I437" s="23">
        <v>9.3750000000000014E-2</v>
      </c>
      <c r="J437" s="19">
        <v>7360955311969160</v>
      </c>
    </row>
    <row r="438" spans="8:10" ht="15" customHeight="1">
      <c r="H438" s="23">
        <v>0.18750000000000003</v>
      </c>
      <c r="I438" s="23">
        <v>9.7500000000000017E-2</v>
      </c>
      <c r="J438" s="19">
        <v>7358831236337632</v>
      </c>
    </row>
    <row r="439" spans="8:10" ht="15" customHeight="1">
      <c r="H439" s="23">
        <v>0.18750000000000003</v>
      </c>
      <c r="I439" s="23">
        <v>0.10125000000000002</v>
      </c>
      <c r="J439" s="19">
        <v>7356736914402088</v>
      </c>
    </row>
    <row r="440" spans="8:10" ht="15" customHeight="1">
      <c r="H440" s="23">
        <v>0.18750000000000003</v>
      </c>
      <c r="I440" s="23">
        <v>0.10500000000000001</v>
      </c>
      <c r="J440" s="19">
        <v>7354670042645432</v>
      </c>
    </row>
    <row r="441" spans="8:10" ht="15" customHeight="1">
      <c r="H441" s="23">
        <v>0.18750000000000003</v>
      </c>
      <c r="I441" s="23">
        <v>0.10875000000000001</v>
      </c>
      <c r="J441" s="19">
        <v>7352633155298040</v>
      </c>
    </row>
    <row r="442" spans="8:10" ht="15" customHeight="1">
      <c r="H442" s="23">
        <v>0.18750000000000003</v>
      </c>
      <c r="I442" s="23">
        <v>0.11250000000000002</v>
      </c>
      <c r="J442" s="19">
        <v>7350624138226888</v>
      </c>
    </row>
    <row r="443" spans="8:10" ht="15" customHeight="1">
      <c r="H443" s="23">
        <v>0.18750000000000003</v>
      </c>
      <c r="I443" s="23">
        <v>0.11625000000000002</v>
      </c>
      <c r="J443" s="19">
        <v>7348645340766856</v>
      </c>
    </row>
    <row r="444" spans="8:10" ht="15" customHeight="1">
      <c r="H444" s="23">
        <v>0.18750000000000003</v>
      </c>
      <c r="I444" s="23">
        <v>0.12000000000000002</v>
      </c>
      <c r="J444" s="19">
        <v>7346694789509072</v>
      </c>
    </row>
    <row r="445" spans="8:10" ht="15" customHeight="1">
      <c r="H445" s="23">
        <v>0.18750000000000003</v>
      </c>
      <c r="I445" s="23">
        <v>0.12375000000000001</v>
      </c>
      <c r="J445" s="19">
        <v>7344774693285288</v>
      </c>
    </row>
    <row r="446" spans="8:10" ht="15" customHeight="1">
      <c r="H446" s="23">
        <v>0.18750000000000003</v>
      </c>
      <c r="I446" s="23">
        <v>0.12750000000000003</v>
      </c>
      <c r="J446" s="19">
        <v>7342883184167848</v>
      </c>
    </row>
    <row r="447" spans="8:10" ht="15" customHeight="1">
      <c r="H447" s="23">
        <v>0.18750000000000003</v>
      </c>
      <c r="I447" s="23">
        <v>0.13125000000000003</v>
      </c>
      <c r="J447" s="19">
        <v>7341022369898848</v>
      </c>
    </row>
    <row r="448" spans="8:10" ht="15" customHeight="1">
      <c r="H448" s="23">
        <v>0.18750000000000003</v>
      </c>
      <c r="I448" s="23">
        <v>0.13500000000000001</v>
      </c>
      <c r="J448" s="19">
        <v>7339190458343784</v>
      </c>
    </row>
    <row r="449" spans="8:10" ht="15" customHeight="1">
      <c r="H449" s="23">
        <v>0.18750000000000003</v>
      </c>
      <c r="I449" s="23">
        <v>0.13875000000000001</v>
      </c>
      <c r="J449" s="19">
        <v>7337389475018232</v>
      </c>
    </row>
    <row r="450" spans="8:10" ht="15" customHeight="1">
      <c r="H450" s="23">
        <v>0.18750000000000003</v>
      </c>
      <c r="I450" s="23">
        <v>0.14250000000000002</v>
      </c>
      <c r="J450" s="19">
        <v>7335617625985992</v>
      </c>
    </row>
    <row r="451" spans="8:10" ht="15" customHeight="1">
      <c r="H451" s="23">
        <v>0.18750000000000003</v>
      </c>
      <c r="I451" s="23">
        <v>0.14625000000000002</v>
      </c>
      <c r="J451" s="19">
        <v>7333876726881512</v>
      </c>
    </row>
    <row r="452" spans="8:10" ht="15" customHeight="1">
      <c r="H452" s="23">
        <v>0.18750000000000003</v>
      </c>
      <c r="I452" s="23">
        <v>0.15000000000000002</v>
      </c>
      <c r="J452" s="19">
        <v>7332164555988240</v>
      </c>
    </row>
    <row r="453" spans="8:10" ht="15" customHeight="1">
      <c r="H453" s="23">
        <v>0.20625000000000004</v>
      </c>
      <c r="I453" s="23">
        <v>0</v>
      </c>
      <c r="J453" s="19">
        <v>7419744496668624</v>
      </c>
    </row>
    <row r="454" spans="8:10" ht="15" customHeight="1">
      <c r="H454" s="23">
        <v>0.20625000000000004</v>
      </c>
      <c r="I454" s="23">
        <v>3.7500000000000007E-3</v>
      </c>
      <c r="J454" s="19">
        <v>7420190721029296</v>
      </c>
    </row>
    <row r="455" spans="8:10" ht="15" customHeight="1">
      <c r="H455" s="23">
        <v>0.20625000000000004</v>
      </c>
      <c r="I455" s="23">
        <v>7.5000000000000015E-3</v>
      </c>
      <c r="J455" s="19">
        <v>7418075995306656</v>
      </c>
    </row>
    <row r="456" spans="8:10" ht="15" customHeight="1">
      <c r="H456" s="23">
        <v>0.20625000000000004</v>
      </c>
      <c r="I456" s="23">
        <v>1.1250000000000001E-2</v>
      </c>
      <c r="J456" s="19">
        <v>7415607374870760</v>
      </c>
    </row>
    <row r="457" spans="8:10" ht="15" customHeight="1">
      <c r="H457" s="23">
        <v>0.20625000000000004</v>
      </c>
      <c r="I457" s="23">
        <v>1.5000000000000003E-2</v>
      </c>
      <c r="J457" s="19">
        <v>7412943913269096</v>
      </c>
    </row>
    <row r="458" spans="8:10" ht="15" customHeight="1">
      <c r="H458" s="23">
        <v>0.20625000000000004</v>
      </c>
      <c r="I458" s="23">
        <v>1.8750000000000003E-2</v>
      </c>
      <c r="J458" s="19">
        <v>7410295893501688</v>
      </c>
    </row>
    <row r="459" spans="8:10" ht="15" customHeight="1">
      <c r="H459" s="23">
        <v>0.20625000000000004</v>
      </c>
      <c r="I459" s="23">
        <v>2.2500000000000003E-2</v>
      </c>
      <c r="J459" s="19">
        <v>7407645022462672</v>
      </c>
    </row>
    <row r="460" spans="8:10" ht="15" customHeight="1">
      <c r="H460" s="23">
        <v>0.20625000000000004</v>
      </c>
      <c r="I460" s="23">
        <v>2.6250000000000002E-2</v>
      </c>
      <c r="J460" s="19">
        <v>7405036684818280</v>
      </c>
    </row>
    <row r="461" spans="8:10" ht="15" customHeight="1">
      <c r="H461" s="23">
        <v>0.20625000000000004</v>
      </c>
      <c r="I461" s="23">
        <v>3.0000000000000006E-2</v>
      </c>
      <c r="J461" s="19">
        <v>7402441219763216</v>
      </c>
    </row>
    <row r="462" spans="8:10" ht="15" customHeight="1">
      <c r="H462" s="23">
        <v>0.20625000000000004</v>
      </c>
      <c r="I462" s="23">
        <v>3.3750000000000002E-2</v>
      </c>
      <c r="J462" s="19">
        <v>7399880968273928</v>
      </c>
    </row>
    <row r="463" spans="8:10" ht="15" customHeight="1">
      <c r="H463" s="23">
        <v>0.20625000000000004</v>
      </c>
      <c r="I463" s="23">
        <v>3.7500000000000006E-2</v>
      </c>
      <c r="J463" s="19">
        <v>7397338693047280</v>
      </c>
    </row>
    <row r="464" spans="8:10" ht="15" customHeight="1">
      <c r="H464" s="23">
        <v>0.20625000000000004</v>
      </c>
      <c r="I464" s="23">
        <v>4.1250000000000009E-2</v>
      </c>
      <c r="J464" s="19">
        <v>7394828493625152</v>
      </c>
    </row>
    <row r="465" spans="8:10" ht="15" customHeight="1">
      <c r="H465" s="23">
        <v>0.20625000000000004</v>
      </c>
      <c r="I465" s="23">
        <v>4.5000000000000005E-2</v>
      </c>
      <c r="J465" s="19">
        <v>7392338952499120</v>
      </c>
    </row>
    <row r="466" spans="8:10" ht="15" customHeight="1">
      <c r="H466" s="23">
        <v>0.20625000000000004</v>
      </c>
      <c r="I466" s="23">
        <v>4.8750000000000009E-2</v>
      </c>
      <c r="J466" s="19">
        <v>7389879913495976</v>
      </c>
    </row>
    <row r="467" spans="8:10" ht="15" customHeight="1">
      <c r="H467" s="23">
        <v>0.20625000000000004</v>
      </c>
      <c r="I467" s="23">
        <v>5.2500000000000005E-2</v>
      </c>
      <c r="J467" s="19">
        <v>7387443184187304</v>
      </c>
    </row>
    <row r="468" spans="8:10" ht="15" customHeight="1">
      <c r="H468" s="23">
        <v>0.20625000000000004</v>
      </c>
      <c r="I468" s="23">
        <v>5.6250000000000008E-2</v>
      </c>
      <c r="J468" s="19">
        <v>7385036121002864</v>
      </c>
    </row>
    <row r="469" spans="8:10" ht="15" customHeight="1">
      <c r="H469" s="23">
        <v>0.20625000000000004</v>
      </c>
      <c r="I469" s="23">
        <v>6.0000000000000012E-2</v>
      </c>
      <c r="J469" s="19">
        <v>7382652503849144</v>
      </c>
    </row>
    <row r="470" spans="8:10" ht="15" customHeight="1">
      <c r="H470" s="23">
        <v>0.20625000000000004</v>
      </c>
      <c r="I470" s="23">
        <v>6.3750000000000015E-2</v>
      </c>
      <c r="J470" s="19">
        <v>7380298111849600</v>
      </c>
    </row>
    <row r="471" spans="8:10" ht="15" customHeight="1">
      <c r="H471" s="23">
        <v>0.20625000000000004</v>
      </c>
      <c r="I471" s="23">
        <v>6.7500000000000004E-2</v>
      </c>
      <c r="J471" s="19">
        <v>7377968015553624</v>
      </c>
    </row>
    <row r="472" spans="8:10" ht="15" customHeight="1">
      <c r="H472" s="23">
        <v>0.20625000000000004</v>
      </c>
      <c r="I472" s="23">
        <v>7.1250000000000008E-2</v>
      </c>
      <c r="J472" s="19">
        <v>7375666933580120</v>
      </c>
    </row>
    <row r="473" spans="8:10" ht="15" customHeight="1">
      <c r="H473" s="23">
        <v>0.20625000000000004</v>
      </c>
      <c r="I473" s="23">
        <v>7.5000000000000011E-2</v>
      </c>
      <c r="J473" s="19">
        <v>7373390823117688</v>
      </c>
    </row>
    <row r="474" spans="8:10" ht="15" customHeight="1">
      <c r="H474" s="23">
        <v>0.20625000000000004</v>
      </c>
      <c r="I474" s="23">
        <v>7.8750000000000014E-2</v>
      </c>
      <c r="J474" s="19">
        <v>7371143657687272</v>
      </c>
    </row>
    <row r="475" spans="8:10" ht="15" customHeight="1">
      <c r="H475" s="23">
        <v>0.20625000000000004</v>
      </c>
      <c r="I475" s="23">
        <v>8.2500000000000018E-2</v>
      </c>
      <c r="J475" s="19">
        <v>7368922025429512</v>
      </c>
    </row>
    <row r="476" spans="8:10" ht="15" customHeight="1">
      <c r="H476" s="23">
        <v>0.20625000000000004</v>
      </c>
      <c r="I476" s="23">
        <v>8.6250000000000007E-2</v>
      </c>
      <c r="J476" s="19">
        <v>7366729358284768</v>
      </c>
    </row>
    <row r="477" spans="8:10" ht="15" customHeight="1">
      <c r="H477" s="23">
        <v>0.20625000000000004</v>
      </c>
      <c r="I477" s="23">
        <v>9.0000000000000011E-2</v>
      </c>
      <c r="J477" s="19">
        <v>7364562704653744</v>
      </c>
    </row>
    <row r="478" spans="8:10" ht="15" customHeight="1">
      <c r="H478" s="23">
        <v>0.20625000000000004</v>
      </c>
      <c r="I478" s="23">
        <v>9.3750000000000014E-2</v>
      </c>
      <c r="J478" s="19">
        <v>7362425092214680</v>
      </c>
    </row>
    <row r="479" spans="8:10" ht="15" customHeight="1">
      <c r="H479" s="23">
        <v>0.20625000000000004</v>
      </c>
      <c r="I479" s="23">
        <v>9.7500000000000017E-2</v>
      </c>
      <c r="J479" s="19">
        <v>7360313910345888</v>
      </c>
    </row>
    <row r="480" spans="8:10" ht="15" customHeight="1">
      <c r="H480" s="23">
        <v>0.20625000000000004</v>
      </c>
      <c r="I480" s="23">
        <v>0.10125000000000002</v>
      </c>
      <c r="J480" s="19">
        <v>7358231878569464</v>
      </c>
    </row>
    <row r="481" spans="8:10" ht="15" customHeight="1">
      <c r="H481" s="23">
        <v>0.20625000000000004</v>
      </c>
      <c r="I481" s="23">
        <v>0.10500000000000001</v>
      </c>
      <c r="J481" s="19">
        <v>7356176640283304</v>
      </c>
    </row>
    <row r="482" spans="8:10" ht="15" customHeight="1">
      <c r="H482" s="23">
        <v>0.20625000000000004</v>
      </c>
      <c r="I482" s="23">
        <v>0.10875000000000001</v>
      </c>
      <c r="J482" s="19">
        <v>7354150676060528</v>
      </c>
    </row>
    <row r="483" spans="8:10" ht="15" customHeight="1">
      <c r="H483" s="23">
        <v>0.20625000000000004</v>
      </c>
      <c r="I483" s="23">
        <v>0.11250000000000002</v>
      </c>
      <c r="J483" s="19">
        <v>7352151817005880</v>
      </c>
    </row>
    <row r="484" spans="8:10" ht="15" customHeight="1">
      <c r="H484" s="23">
        <v>0.20625000000000004</v>
      </c>
      <c r="I484" s="23">
        <v>0.11625000000000002</v>
      </c>
      <c r="J484" s="19">
        <v>7350182355308856</v>
      </c>
    </row>
    <row r="485" spans="8:10" ht="15" customHeight="1">
      <c r="H485" s="23">
        <v>0.20625000000000004</v>
      </c>
      <c r="I485" s="23">
        <v>0.12000000000000002</v>
      </c>
      <c r="J485" s="19">
        <v>7348240256172992</v>
      </c>
    </row>
    <row r="486" spans="8:10" ht="15" customHeight="1">
      <c r="H486" s="23">
        <v>0.20625000000000004</v>
      </c>
      <c r="I486" s="23">
        <v>0.12375000000000001</v>
      </c>
      <c r="J486" s="19">
        <v>7346327659846648</v>
      </c>
    </row>
    <row r="487" spans="8:10" ht="15" customHeight="1">
      <c r="H487" s="23">
        <v>0.20625000000000004</v>
      </c>
      <c r="I487" s="23">
        <v>0.12750000000000003</v>
      </c>
      <c r="J487" s="19">
        <v>7344442619105080</v>
      </c>
    </row>
    <row r="488" spans="8:10" ht="15" customHeight="1">
      <c r="H488" s="23">
        <v>0.20625000000000004</v>
      </c>
      <c r="I488" s="23">
        <v>0.13125000000000003</v>
      </c>
      <c r="J488" s="19">
        <v>7342587148474992</v>
      </c>
    </row>
    <row r="489" spans="8:10" ht="15" customHeight="1">
      <c r="H489" s="23">
        <v>0.20625000000000004</v>
      </c>
      <c r="I489" s="23">
        <v>0.13500000000000001</v>
      </c>
      <c r="J489" s="19">
        <v>7340759350016944</v>
      </c>
    </row>
    <row r="490" spans="8:10" ht="15" customHeight="1">
      <c r="H490" s="23">
        <v>0.20625000000000004</v>
      </c>
      <c r="I490" s="23">
        <v>0.13875000000000001</v>
      </c>
      <c r="J490" s="19">
        <v>7338961146714040</v>
      </c>
    </row>
    <row r="491" spans="8:10" ht="15" customHeight="1">
      <c r="H491" s="23">
        <v>0.20625000000000004</v>
      </c>
      <c r="I491" s="23">
        <v>0.14250000000000002</v>
      </c>
      <c r="J491" s="19">
        <v>7337190701046024</v>
      </c>
    </row>
    <row r="492" spans="8:10" ht="15" customHeight="1">
      <c r="H492" s="23">
        <v>0.20625000000000004</v>
      </c>
      <c r="I492" s="23">
        <v>0.14625000000000002</v>
      </c>
      <c r="J492" s="19">
        <v>7335449996435096</v>
      </c>
    </row>
    <row r="493" spans="8:10" ht="15" customHeight="1">
      <c r="H493" s="23">
        <v>0.20625000000000004</v>
      </c>
      <c r="I493" s="23">
        <v>0.15000000000000002</v>
      </c>
      <c r="J493" s="19">
        <v>7333737566478312</v>
      </c>
    </row>
    <row r="494" spans="8:10" ht="15" customHeight="1">
      <c r="H494" s="23">
        <v>0.22500000000000003</v>
      </c>
      <c r="I494" s="23">
        <v>0</v>
      </c>
      <c r="J494" s="19">
        <v>7420820829322600</v>
      </c>
    </row>
    <row r="495" spans="8:10" ht="15" customHeight="1">
      <c r="H495" s="23">
        <v>0.22500000000000003</v>
      </c>
      <c r="I495" s="23">
        <v>3.7500000000000007E-3</v>
      </c>
      <c r="J495" s="19">
        <v>7421278015330944</v>
      </c>
    </row>
    <row r="496" spans="8:10" ht="15" customHeight="1">
      <c r="H496" s="23">
        <v>0.22500000000000003</v>
      </c>
      <c r="I496" s="23">
        <v>7.5000000000000015E-3</v>
      </c>
      <c r="J496" s="19">
        <v>7419174534003736</v>
      </c>
    </row>
    <row r="497" spans="8:10" ht="15" customHeight="1">
      <c r="H497" s="23">
        <v>0.22500000000000003</v>
      </c>
      <c r="I497" s="23">
        <v>1.1250000000000001E-2</v>
      </c>
      <c r="J497" s="19">
        <v>7416717400652200</v>
      </c>
    </row>
    <row r="498" spans="8:10" ht="15" customHeight="1">
      <c r="H498" s="23">
        <v>0.22500000000000003</v>
      </c>
      <c r="I498" s="23">
        <v>1.5000000000000003E-2</v>
      </c>
      <c r="J498" s="19">
        <v>7414065648254168</v>
      </c>
    </row>
    <row r="499" spans="8:10" ht="15" customHeight="1">
      <c r="H499" s="23">
        <v>0.22500000000000003</v>
      </c>
      <c r="I499" s="23">
        <v>1.8750000000000003E-2</v>
      </c>
      <c r="J499" s="19">
        <v>7411429537635456</v>
      </c>
    </row>
    <row r="500" spans="8:10" ht="15" customHeight="1">
      <c r="H500" s="23">
        <v>0.22500000000000003</v>
      </c>
      <c r="I500" s="23">
        <v>2.2500000000000003E-2</v>
      </c>
      <c r="J500" s="19">
        <v>7408790754692936</v>
      </c>
    </row>
    <row r="501" spans="8:10" ht="15" customHeight="1">
      <c r="H501" s="23">
        <v>0.22500000000000003</v>
      </c>
      <c r="I501" s="23">
        <v>2.6250000000000002E-2</v>
      </c>
      <c r="J501" s="19">
        <v>7406194661319248</v>
      </c>
    </row>
    <row r="502" spans="8:10" ht="15" customHeight="1">
      <c r="H502" s="23">
        <v>0.22500000000000003</v>
      </c>
      <c r="I502" s="23">
        <v>3.0000000000000006E-2</v>
      </c>
      <c r="J502" s="19">
        <v>7403611573522224</v>
      </c>
    </row>
    <row r="503" spans="8:10" ht="15" customHeight="1">
      <c r="H503" s="23">
        <v>0.22500000000000003</v>
      </c>
      <c r="I503" s="23">
        <v>3.3750000000000002E-2</v>
      </c>
      <c r="J503" s="19">
        <v>7401063807385080</v>
      </c>
    </row>
    <row r="504" spans="8:10" ht="15" customHeight="1">
      <c r="H504" s="23">
        <v>0.22500000000000003</v>
      </c>
      <c r="I504" s="23">
        <v>3.7500000000000006E-2</v>
      </c>
      <c r="J504" s="19">
        <v>7398534099922488</v>
      </c>
    </row>
    <row r="505" spans="8:10" ht="15" customHeight="1">
      <c r="H505" s="23">
        <v>0.22500000000000003</v>
      </c>
      <c r="I505" s="23">
        <v>4.1250000000000009E-2</v>
      </c>
      <c r="J505" s="19">
        <v>7396036523495656</v>
      </c>
    </row>
    <row r="506" spans="8:10" ht="15" customHeight="1">
      <c r="H506" s="23">
        <v>0.22500000000000003</v>
      </c>
      <c r="I506" s="23">
        <v>4.5000000000000005E-2</v>
      </c>
      <c r="J506" s="19">
        <v>7393559632500832</v>
      </c>
    </row>
    <row r="507" spans="8:10" ht="15" customHeight="1">
      <c r="H507" s="23">
        <v>0.22500000000000003</v>
      </c>
      <c r="I507" s="23">
        <v>4.8750000000000009E-2</v>
      </c>
      <c r="J507" s="19">
        <v>7391113241306608</v>
      </c>
    </row>
    <row r="508" spans="8:10" ht="15" customHeight="1">
      <c r="H508" s="23">
        <v>0.22500000000000003</v>
      </c>
      <c r="I508" s="23">
        <v>5.2500000000000005E-2</v>
      </c>
      <c r="J508" s="19">
        <v>7388689127090056</v>
      </c>
    </row>
    <row r="509" spans="8:10" ht="15" customHeight="1">
      <c r="H509" s="23">
        <v>0.22500000000000003</v>
      </c>
      <c r="I509" s="23">
        <v>5.6250000000000008E-2</v>
      </c>
      <c r="J509" s="19">
        <v>7386294614656736</v>
      </c>
    </row>
    <row r="510" spans="8:10" ht="15" customHeight="1">
      <c r="H510" s="23">
        <v>0.22500000000000003</v>
      </c>
      <c r="I510" s="23">
        <v>6.0000000000000012E-2</v>
      </c>
      <c r="J510" s="19">
        <v>7383923451407752</v>
      </c>
    </row>
    <row r="511" spans="8:10" ht="15" customHeight="1">
      <c r="H511" s="23">
        <v>0.22500000000000003</v>
      </c>
      <c r="I511" s="23">
        <v>6.3750000000000015E-2</v>
      </c>
      <c r="J511" s="19">
        <v>7381581382892208</v>
      </c>
    </row>
    <row r="512" spans="8:10" ht="15" customHeight="1">
      <c r="H512" s="23">
        <v>0.22500000000000003</v>
      </c>
      <c r="I512" s="23">
        <v>6.7500000000000004E-2</v>
      </c>
      <c r="J512" s="19">
        <v>7379263445328104</v>
      </c>
    </row>
    <row r="513" spans="8:10" ht="15" customHeight="1">
      <c r="H513" s="23">
        <v>0.22500000000000003</v>
      </c>
      <c r="I513" s="23">
        <v>7.1250000000000008E-2</v>
      </c>
      <c r="J513" s="19">
        <v>7376974322139552</v>
      </c>
    </row>
    <row r="514" spans="8:10" ht="15" customHeight="1">
      <c r="H514" s="23">
        <v>0.22500000000000003</v>
      </c>
      <c r="I514" s="23">
        <v>7.5000000000000011E-2</v>
      </c>
      <c r="J514" s="19">
        <v>7374709934756120</v>
      </c>
    </row>
    <row r="515" spans="8:10" ht="15" customHeight="1">
      <c r="H515" s="23">
        <v>0.22500000000000003</v>
      </c>
      <c r="I515" s="23">
        <v>7.8750000000000014E-2</v>
      </c>
      <c r="J515" s="19">
        <v>7372474220338736</v>
      </c>
    </row>
    <row r="516" spans="8:10" ht="15" customHeight="1">
      <c r="H516" s="23">
        <v>0.22500000000000003</v>
      </c>
      <c r="I516" s="23">
        <v>8.2500000000000018E-2</v>
      </c>
      <c r="J516" s="19">
        <v>7370263730372664</v>
      </c>
    </row>
    <row r="517" spans="8:10" ht="15" customHeight="1">
      <c r="H517" s="23">
        <v>0.22500000000000003</v>
      </c>
      <c r="I517" s="23">
        <v>8.6250000000000007E-2</v>
      </c>
      <c r="J517" s="19">
        <v>7368081859877976</v>
      </c>
    </row>
    <row r="518" spans="8:10" ht="15" customHeight="1">
      <c r="H518" s="23">
        <v>0.22500000000000003</v>
      </c>
      <c r="I518" s="23">
        <v>9.0000000000000011E-2</v>
      </c>
      <c r="J518" s="19">
        <v>7365925620405824</v>
      </c>
    </row>
    <row r="519" spans="8:10" ht="15" customHeight="1">
      <c r="H519" s="23">
        <v>0.22500000000000003</v>
      </c>
      <c r="I519" s="23">
        <v>9.3750000000000014E-2</v>
      </c>
      <c r="J519" s="19">
        <v>7363798002973528</v>
      </c>
    </row>
    <row r="520" spans="8:10" ht="15" customHeight="1">
      <c r="H520" s="23">
        <v>0.22500000000000003</v>
      </c>
      <c r="I520" s="23">
        <v>9.7500000000000017E-2</v>
      </c>
      <c r="J520" s="19">
        <v>7361696360900848</v>
      </c>
    </row>
    <row r="521" spans="8:10" ht="15" customHeight="1">
      <c r="H521" s="23">
        <v>0.22500000000000003</v>
      </c>
      <c r="I521" s="23">
        <v>0.10125000000000002</v>
      </c>
      <c r="J521" s="19">
        <v>7359623378530184</v>
      </c>
    </row>
    <row r="522" spans="8:10" ht="15" customHeight="1">
      <c r="H522" s="23">
        <v>0.22500000000000003</v>
      </c>
      <c r="I522" s="23">
        <v>0.10500000000000001</v>
      </c>
      <c r="J522" s="19">
        <v>7357576665580488</v>
      </c>
    </row>
    <row r="523" spans="8:10" ht="15" customHeight="1">
      <c r="H523" s="23">
        <v>0.22500000000000003</v>
      </c>
      <c r="I523" s="23">
        <v>0.10875000000000001</v>
      </c>
      <c r="J523" s="19">
        <v>7355558671076792</v>
      </c>
    </row>
    <row r="524" spans="8:10" ht="15" customHeight="1">
      <c r="H524" s="23">
        <v>0.22500000000000003</v>
      </c>
      <c r="I524" s="23">
        <v>0.11250000000000002</v>
      </c>
      <c r="J524" s="19">
        <v>7353567197847504</v>
      </c>
    </row>
    <row r="525" spans="8:10" ht="15" customHeight="1">
      <c r="H525" s="23">
        <v>0.22500000000000003</v>
      </c>
      <c r="I525" s="23">
        <v>0.11625000000000002</v>
      </c>
      <c r="J525" s="19">
        <v>7351604514504696</v>
      </c>
    </row>
    <row r="526" spans="8:10" ht="15" customHeight="1">
      <c r="H526" s="23">
        <v>0.22500000000000003</v>
      </c>
      <c r="I526" s="23">
        <v>0.12000000000000002</v>
      </c>
      <c r="J526" s="19">
        <v>7349668569621080</v>
      </c>
    </row>
    <row r="527" spans="8:10" ht="15" customHeight="1">
      <c r="H527" s="23">
        <v>0.22500000000000003</v>
      </c>
      <c r="I527" s="23">
        <v>0.12375000000000001</v>
      </c>
      <c r="J527" s="19">
        <v>7347761496598912</v>
      </c>
    </row>
    <row r="528" spans="8:10" ht="15" customHeight="1">
      <c r="H528" s="23">
        <v>0.22500000000000003</v>
      </c>
      <c r="I528" s="23">
        <v>0.12750000000000003</v>
      </c>
      <c r="J528" s="19">
        <v>7345881354756320</v>
      </c>
    </row>
    <row r="529" spans="8:10" ht="15" customHeight="1">
      <c r="H529" s="23">
        <v>0.22500000000000003</v>
      </c>
      <c r="I529" s="23">
        <v>0.13125000000000003</v>
      </c>
      <c r="J529" s="19">
        <v>7344030181552728</v>
      </c>
    </row>
    <row r="530" spans="8:10" ht="15" customHeight="1">
      <c r="H530" s="23">
        <v>0.22500000000000003</v>
      </c>
      <c r="I530" s="23">
        <v>0.13500000000000001</v>
      </c>
      <c r="J530" s="19">
        <v>7342206117783880</v>
      </c>
    </row>
    <row r="531" spans="8:10" ht="15" customHeight="1">
      <c r="H531" s="23">
        <v>0.22500000000000003</v>
      </c>
      <c r="I531" s="23">
        <v>0.13875000000000001</v>
      </c>
      <c r="J531" s="19">
        <v>7340411127718624</v>
      </c>
    </row>
    <row r="532" spans="8:10" ht="15" customHeight="1">
      <c r="H532" s="23">
        <v>0.22500000000000003</v>
      </c>
      <c r="I532" s="23">
        <v>0.14250000000000002</v>
      </c>
      <c r="J532" s="19">
        <v>7338643370885456</v>
      </c>
    </row>
    <row r="533" spans="8:10" ht="15" customHeight="1">
      <c r="H533" s="23">
        <v>0.22500000000000003</v>
      </c>
      <c r="I533" s="23">
        <v>0.14625000000000002</v>
      </c>
      <c r="J533" s="19">
        <v>7336904654316192</v>
      </c>
    </row>
    <row r="534" spans="8:10" ht="15" customHeight="1">
      <c r="H534" s="23">
        <v>0.22500000000000003</v>
      </c>
      <c r="I534" s="23">
        <v>0.15000000000000002</v>
      </c>
      <c r="J534" s="19">
        <v>7335192842916600</v>
      </c>
    </row>
    <row r="535" spans="8:10" ht="15" customHeight="1">
      <c r="H535" s="23">
        <v>0.24375000000000002</v>
      </c>
      <c r="I535" s="23">
        <v>0</v>
      </c>
      <c r="J535" s="19">
        <v>7421876367894640</v>
      </c>
    </row>
    <row r="536" spans="8:10" ht="15" customHeight="1">
      <c r="H536" s="23">
        <v>0.24375000000000002</v>
      </c>
      <c r="I536" s="23">
        <v>3.7500000000000007E-3</v>
      </c>
      <c r="J536" s="19">
        <v>7422342501475264</v>
      </c>
    </row>
    <row r="537" spans="8:10" ht="15" customHeight="1">
      <c r="H537" s="23">
        <v>0.24375000000000002</v>
      </c>
      <c r="I537" s="23">
        <v>7.5000000000000015E-3</v>
      </c>
      <c r="J537" s="19">
        <v>7420248165630200</v>
      </c>
    </row>
    <row r="538" spans="8:10" ht="15" customHeight="1">
      <c r="H538" s="23">
        <v>0.24375000000000002</v>
      </c>
      <c r="I538" s="23">
        <v>1.1250000000000001E-2</v>
      </c>
      <c r="J538" s="19">
        <v>7417800339667928</v>
      </c>
    </row>
    <row r="539" spans="8:10" ht="15" customHeight="1">
      <c r="H539" s="23">
        <v>0.24375000000000002</v>
      </c>
      <c r="I539" s="23">
        <v>1.5000000000000003E-2</v>
      </c>
      <c r="J539" s="19">
        <v>7415158039673752</v>
      </c>
    </row>
    <row r="540" spans="8:10" ht="15" customHeight="1">
      <c r="H540" s="23">
        <v>0.24375000000000002</v>
      </c>
      <c r="I540" s="23">
        <v>1.8750000000000003E-2</v>
      </c>
      <c r="J540" s="19">
        <v>7412531508084704</v>
      </c>
    </row>
    <row r="541" spans="8:10" ht="15" customHeight="1">
      <c r="H541" s="23">
        <v>0.24375000000000002</v>
      </c>
      <c r="I541" s="23">
        <v>2.2500000000000003E-2</v>
      </c>
      <c r="J541" s="19">
        <v>7409902413722768</v>
      </c>
    </row>
    <row r="542" spans="8:10" ht="15" customHeight="1">
      <c r="H542" s="23">
        <v>0.24375000000000002</v>
      </c>
      <c r="I542" s="23">
        <v>2.6250000000000002E-2</v>
      </c>
      <c r="J542" s="19">
        <v>7407316099870496</v>
      </c>
    </row>
    <row r="543" spans="8:10" ht="15" customHeight="1">
      <c r="H543" s="23">
        <v>0.24375000000000002</v>
      </c>
      <c r="I543" s="23">
        <v>3.0000000000000006E-2</v>
      </c>
      <c r="J543" s="19">
        <v>7404742863774016</v>
      </c>
    </row>
    <row r="544" spans="8:10" ht="15" customHeight="1">
      <c r="H544" s="23">
        <v>0.24375000000000002</v>
      </c>
      <c r="I544" s="23">
        <v>3.3750000000000002E-2</v>
      </c>
      <c r="J544" s="19">
        <v>7402205001366464</v>
      </c>
    </row>
    <row r="545" spans="8:10" ht="15" customHeight="1">
      <c r="H545" s="23">
        <v>0.24375000000000002</v>
      </c>
      <c r="I545" s="23">
        <v>3.7500000000000006E-2</v>
      </c>
      <c r="J545" s="19">
        <v>7399685229055496</v>
      </c>
    </row>
    <row r="546" spans="8:10" ht="15" customHeight="1">
      <c r="H546" s="23">
        <v>0.24375000000000002</v>
      </c>
      <c r="I546" s="23">
        <v>4.1250000000000009E-2</v>
      </c>
      <c r="J546" s="19">
        <v>7397197597464072</v>
      </c>
    </row>
    <row r="547" spans="8:10" ht="15" customHeight="1">
      <c r="H547" s="23">
        <v>0.24375000000000002</v>
      </c>
      <c r="I547" s="23">
        <v>4.5000000000000005E-2</v>
      </c>
      <c r="J547" s="19">
        <v>7394730638714776</v>
      </c>
    </row>
    <row r="548" spans="8:10" ht="15" customHeight="1">
      <c r="H548" s="23">
        <v>0.24375000000000002</v>
      </c>
      <c r="I548" s="23">
        <v>4.8750000000000009E-2</v>
      </c>
      <c r="J548" s="19">
        <v>7392294143940808</v>
      </c>
    </row>
    <row r="549" spans="8:10" ht="15" customHeight="1">
      <c r="H549" s="23">
        <v>0.24375000000000002</v>
      </c>
      <c r="I549" s="23">
        <v>5.2500000000000005E-2</v>
      </c>
      <c r="J549" s="19">
        <v>7389879866555272</v>
      </c>
    </row>
    <row r="550" spans="8:10" ht="15" customHeight="1">
      <c r="H550" s="23">
        <v>0.24375000000000002</v>
      </c>
      <c r="I550" s="23">
        <v>5.6250000000000008E-2</v>
      </c>
      <c r="J550" s="19">
        <v>7387495106787848</v>
      </c>
    </row>
    <row r="551" spans="8:10" ht="15" customHeight="1">
      <c r="H551" s="23">
        <v>0.24375000000000002</v>
      </c>
      <c r="I551" s="23">
        <v>6.0000000000000012E-2</v>
      </c>
      <c r="J551" s="19">
        <v>7385133586996704</v>
      </c>
    </row>
    <row r="552" spans="8:10" ht="15" customHeight="1">
      <c r="H552" s="23">
        <v>0.24375000000000002</v>
      </c>
      <c r="I552" s="23">
        <v>6.3750000000000015E-2</v>
      </c>
      <c r="J552" s="19">
        <v>7382801027030552</v>
      </c>
    </row>
    <row r="553" spans="8:10" ht="15" customHeight="1">
      <c r="H553" s="23">
        <v>0.24375000000000002</v>
      </c>
      <c r="I553" s="23">
        <v>6.7500000000000004E-2</v>
      </c>
      <c r="J553" s="19">
        <v>7380492437043696</v>
      </c>
    </row>
    <row r="554" spans="8:10" ht="15" customHeight="1">
      <c r="H554" s="23">
        <v>0.24375000000000002</v>
      </c>
      <c r="I554" s="23">
        <v>7.1250000000000008E-2</v>
      </c>
      <c r="J554" s="19">
        <v>7378212473907424</v>
      </c>
    </row>
    <row r="555" spans="8:10" ht="15" customHeight="1">
      <c r="H555" s="23">
        <v>0.24375000000000002</v>
      </c>
      <c r="I555" s="23">
        <v>7.5000000000000011E-2</v>
      </c>
      <c r="J555" s="19">
        <v>7375957032273704</v>
      </c>
    </row>
    <row r="556" spans="8:10" ht="15" customHeight="1">
      <c r="H556" s="23">
        <v>0.24375000000000002</v>
      </c>
      <c r="I556" s="23">
        <v>7.8750000000000014E-2</v>
      </c>
      <c r="J556" s="19">
        <v>7373730022220016</v>
      </c>
    </row>
    <row r="557" spans="8:10" ht="15" customHeight="1">
      <c r="H557" s="23">
        <v>0.24375000000000002</v>
      </c>
      <c r="I557" s="23">
        <v>8.2500000000000018E-2</v>
      </c>
      <c r="J557" s="19">
        <v>7371527968082568</v>
      </c>
    </row>
    <row r="558" spans="8:10" ht="15" customHeight="1">
      <c r="H558" s="23">
        <v>0.24375000000000002</v>
      </c>
      <c r="I558" s="23">
        <v>8.6250000000000007E-2</v>
      </c>
      <c r="J558" s="19">
        <v>7369354237611960</v>
      </c>
    </row>
    <row r="559" spans="8:10" ht="15" customHeight="1">
      <c r="H559" s="23">
        <v>0.24375000000000002</v>
      </c>
      <c r="I559" s="23">
        <v>9.0000000000000011E-2</v>
      </c>
      <c r="J559" s="19">
        <v>7367205815176712</v>
      </c>
    </row>
    <row r="560" spans="8:10" ht="15" customHeight="1">
      <c r="H560" s="23">
        <v>0.24375000000000002</v>
      </c>
      <c r="I560" s="23">
        <v>9.3750000000000014E-2</v>
      </c>
      <c r="J560" s="19">
        <v>7365085664633776</v>
      </c>
    </row>
    <row r="561" spans="8:10" ht="15" customHeight="1">
      <c r="H561" s="23">
        <v>0.24375000000000002</v>
      </c>
      <c r="I561" s="23">
        <v>9.7500000000000017E-2</v>
      </c>
      <c r="J561" s="19">
        <v>7362991112301272</v>
      </c>
    </row>
    <row r="562" spans="8:10" ht="15" customHeight="1">
      <c r="H562" s="23">
        <v>0.24375000000000002</v>
      </c>
      <c r="I562" s="23">
        <v>0.10125000000000002</v>
      </c>
      <c r="J562" s="19">
        <v>7360924815526152</v>
      </c>
    </row>
    <row r="563" spans="8:10" ht="15" customHeight="1">
      <c r="H563" s="23">
        <v>0.24375000000000002</v>
      </c>
      <c r="I563" s="23">
        <v>0.10500000000000001</v>
      </c>
      <c r="J563" s="19">
        <v>7358884356989008</v>
      </c>
    </row>
    <row r="564" spans="8:10" ht="15" customHeight="1">
      <c r="H564" s="23">
        <v>0.24375000000000002</v>
      </c>
      <c r="I564" s="23">
        <v>0.10875000000000001</v>
      </c>
      <c r="J564" s="19">
        <v>7356872158207000</v>
      </c>
    </row>
    <row r="565" spans="8:10" ht="15" customHeight="1">
      <c r="H565" s="23">
        <v>0.24375000000000002</v>
      </c>
      <c r="I565" s="23">
        <v>0.11250000000000002</v>
      </c>
      <c r="J565" s="19">
        <v>7354885993520888</v>
      </c>
    </row>
    <row r="566" spans="8:10" ht="15" customHeight="1">
      <c r="H566" s="23">
        <v>0.24375000000000002</v>
      </c>
      <c r="I566" s="23">
        <v>0.11625000000000002</v>
      </c>
      <c r="J566" s="19">
        <v>7352928100975176</v>
      </c>
    </row>
    <row r="567" spans="8:10" ht="15" customHeight="1">
      <c r="H567" s="23">
        <v>0.24375000000000002</v>
      </c>
      <c r="I567" s="23">
        <v>0.12000000000000002</v>
      </c>
      <c r="J567" s="19">
        <v>7350996395008720</v>
      </c>
    </row>
    <row r="568" spans="8:10" ht="15" customHeight="1">
      <c r="H568" s="23">
        <v>0.24375000000000002</v>
      </c>
      <c r="I568" s="23">
        <v>0.12375000000000001</v>
      </c>
      <c r="J568" s="19">
        <v>7349092969000600</v>
      </c>
    </row>
    <row r="569" spans="8:10" ht="15" customHeight="1">
      <c r="H569" s="23">
        <v>0.24375000000000002</v>
      </c>
      <c r="I569" s="23">
        <v>0.12750000000000003</v>
      </c>
      <c r="J569" s="19">
        <v>7347215833669592</v>
      </c>
    </row>
    <row r="570" spans="8:10" ht="15" customHeight="1">
      <c r="H570" s="23">
        <v>0.24375000000000002</v>
      </c>
      <c r="I570" s="23">
        <v>0.13125000000000003</v>
      </c>
      <c r="J570" s="19">
        <v>7345366966810640</v>
      </c>
    </row>
    <row r="571" spans="8:10" ht="15" customHeight="1">
      <c r="H571" s="23">
        <v>0.24375000000000002</v>
      </c>
      <c r="I571" s="23">
        <v>0.13500000000000001</v>
      </c>
      <c r="J571" s="19">
        <v>7343544439362824</v>
      </c>
    </row>
    <row r="572" spans="8:10" ht="15" customHeight="1">
      <c r="H572" s="23">
        <v>0.24375000000000002</v>
      </c>
      <c r="I572" s="23">
        <v>0.13875000000000001</v>
      </c>
      <c r="J572" s="19">
        <v>7341750147003352</v>
      </c>
    </row>
    <row r="573" spans="8:10" ht="15" customHeight="1">
      <c r="H573" s="23">
        <v>0.24375000000000002</v>
      </c>
      <c r="I573" s="23">
        <v>0.14250000000000002</v>
      </c>
      <c r="J573" s="19">
        <v>7339982222510104</v>
      </c>
    </row>
    <row r="574" spans="8:10" ht="15" customHeight="1">
      <c r="H574" s="23">
        <v>0.24375000000000002</v>
      </c>
      <c r="I574" s="23">
        <v>0.14625000000000002</v>
      </c>
      <c r="J574" s="19">
        <v>7338242599222240</v>
      </c>
    </row>
    <row r="575" spans="8:10" ht="15" customHeight="1">
      <c r="H575" s="23">
        <v>0.24375000000000002</v>
      </c>
      <c r="I575" s="23">
        <v>0.15000000000000002</v>
      </c>
      <c r="J575" s="19">
        <v>7336529696198960</v>
      </c>
    </row>
    <row r="576" spans="8:10" ht="15" customHeight="1">
      <c r="H576" s="23">
        <v>0.26250000000000007</v>
      </c>
      <c r="I576" s="23">
        <v>0</v>
      </c>
      <c r="J576" s="19">
        <v>7422906564935864</v>
      </c>
    </row>
    <row r="577" spans="8:10" ht="15" customHeight="1">
      <c r="H577" s="23">
        <v>0.26250000000000007</v>
      </c>
      <c r="I577" s="23">
        <v>3.7500000000000007E-3</v>
      </c>
      <c r="J577" s="19">
        <v>7423379968663792</v>
      </c>
    </row>
    <row r="578" spans="8:10" ht="15" customHeight="1">
      <c r="H578" s="23">
        <v>0.26250000000000007</v>
      </c>
      <c r="I578" s="23">
        <v>7.5000000000000015E-3</v>
      </c>
      <c r="J578" s="19">
        <v>7421293041403920</v>
      </c>
    </row>
    <row r="579" spans="8:10" ht="15" customHeight="1">
      <c r="H579" s="23">
        <v>0.26250000000000007</v>
      </c>
      <c r="I579" s="23">
        <v>1.1250000000000001E-2</v>
      </c>
      <c r="J579" s="19">
        <v>7418852729567712</v>
      </c>
    </row>
    <row r="580" spans="8:10" ht="15" customHeight="1">
      <c r="H580" s="23">
        <v>0.26250000000000007</v>
      </c>
      <c r="I580" s="23">
        <v>1.5000000000000003E-2</v>
      </c>
      <c r="J580" s="19">
        <v>7416218035371632</v>
      </c>
    </row>
    <row r="581" spans="8:10" ht="15" customHeight="1">
      <c r="H581" s="23">
        <v>0.26250000000000007</v>
      </c>
      <c r="I581" s="23">
        <v>1.8750000000000003E-2</v>
      </c>
      <c r="J581" s="19">
        <v>7413599186170768</v>
      </c>
    </row>
    <row r="582" spans="8:10" ht="15" customHeight="1">
      <c r="H582" s="23">
        <v>0.26250000000000007</v>
      </c>
      <c r="I582" s="23">
        <v>2.2500000000000003E-2</v>
      </c>
      <c r="J582" s="19">
        <v>7410977837209376</v>
      </c>
    </row>
    <row r="583" spans="8:10" ht="15" customHeight="1">
      <c r="H583" s="23">
        <v>0.26250000000000007</v>
      </c>
      <c r="I583" s="23">
        <v>2.6250000000000002E-2</v>
      </c>
      <c r="J583" s="19">
        <v>7408399316896280</v>
      </c>
    </row>
    <row r="584" spans="8:10" ht="15" customHeight="1">
      <c r="H584" s="23">
        <v>0.26250000000000007</v>
      </c>
      <c r="I584" s="23">
        <v>3.0000000000000006E-2</v>
      </c>
      <c r="J584" s="19">
        <v>7405833907663528</v>
      </c>
    </row>
    <row r="585" spans="8:10" ht="15" customHeight="1">
      <c r="H585" s="23">
        <v>0.26250000000000007</v>
      </c>
      <c r="I585" s="23">
        <v>3.3750000000000002E-2</v>
      </c>
      <c r="J585" s="19">
        <v>7403303889484840</v>
      </c>
    </row>
    <row r="586" spans="8:10" ht="15" customHeight="1">
      <c r="H586" s="23">
        <v>0.26250000000000007</v>
      </c>
      <c r="I586" s="23">
        <v>3.7500000000000006E-2</v>
      </c>
      <c r="J586" s="19">
        <v>7400791962578808</v>
      </c>
    </row>
    <row r="587" spans="8:10" ht="15" customHeight="1">
      <c r="H587" s="23">
        <v>0.26250000000000007</v>
      </c>
      <c r="I587" s="23">
        <v>4.1250000000000009E-2</v>
      </c>
      <c r="J587" s="19">
        <v>7398312160498312</v>
      </c>
    </row>
    <row r="588" spans="8:10" ht="15" customHeight="1">
      <c r="H588" s="23">
        <v>0.26250000000000007</v>
      </c>
      <c r="I588" s="23">
        <v>4.5000000000000005E-2</v>
      </c>
      <c r="J588" s="19">
        <v>7395852997999672</v>
      </c>
    </row>
    <row r="589" spans="8:10" ht="15" customHeight="1">
      <c r="H589" s="23">
        <v>0.26250000000000007</v>
      </c>
      <c r="I589" s="23">
        <v>4.8750000000000009E-2</v>
      </c>
      <c r="J589" s="19">
        <v>7393424248141640</v>
      </c>
    </row>
    <row r="590" spans="8:10" ht="15" customHeight="1">
      <c r="H590" s="23">
        <v>0.26250000000000007</v>
      </c>
      <c r="I590" s="23">
        <v>5.2500000000000005E-2</v>
      </c>
      <c r="J590" s="19">
        <v>7391017645977840</v>
      </c>
    </row>
    <row r="591" spans="8:10" ht="15" customHeight="1">
      <c r="H591" s="23">
        <v>0.26250000000000007</v>
      </c>
      <c r="I591" s="23">
        <v>5.6250000000000008E-2</v>
      </c>
      <c r="J591" s="19">
        <v>7388640472814968</v>
      </c>
    </row>
    <row r="592" spans="8:10" ht="15" customHeight="1">
      <c r="H592" s="23">
        <v>0.26250000000000007</v>
      </c>
      <c r="I592" s="23">
        <v>6.0000000000000012E-2</v>
      </c>
      <c r="J592" s="19">
        <v>7386286431856528</v>
      </c>
    </row>
    <row r="593" spans="8:10" ht="15" customHeight="1">
      <c r="H593" s="23">
        <v>0.26250000000000007</v>
      </c>
      <c r="I593" s="23">
        <v>6.3750000000000015E-2</v>
      </c>
      <c r="J593" s="19">
        <v>7383961223372336</v>
      </c>
    </row>
    <row r="594" spans="8:10" ht="15" customHeight="1">
      <c r="H594" s="23">
        <v>0.26250000000000007</v>
      </c>
      <c r="I594" s="23">
        <v>6.7500000000000004E-2</v>
      </c>
      <c r="J594" s="19">
        <v>7381659837790888</v>
      </c>
    </row>
    <row r="595" spans="8:10" ht="15" customHeight="1">
      <c r="H595" s="23">
        <v>0.26250000000000007</v>
      </c>
      <c r="I595" s="23">
        <v>7.1250000000000008E-2</v>
      </c>
      <c r="J595" s="19">
        <v>7379386911977016</v>
      </c>
    </row>
    <row r="596" spans="8:10" ht="15" customHeight="1">
      <c r="H596" s="23">
        <v>0.26250000000000007</v>
      </c>
      <c r="I596" s="23">
        <v>7.5000000000000011E-2</v>
      </c>
      <c r="J596" s="19">
        <v>7377138320540544</v>
      </c>
    </row>
    <row r="597" spans="8:10" ht="15" customHeight="1">
      <c r="H597" s="23">
        <v>0.26250000000000007</v>
      </c>
      <c r="I597" s="23">
        <v>7.8750000000000014E-2</v>
      </c>
      <c r="J597" s="19">
        <v>7374917953391992</v>
      </c>
    </row>
    <row r="598" spans="8:10" ht="15" customHeight="1">
      <c r="H598" s="23">
        <v>0.26250000000000007</v>
      </c>
      <c r="I598" s="23">
        <v>8.2500000000000018E-2</v>
      </c>
      <c r="J598" s="19">
        <v>7372722314805088</v>
      </c>
    </row>
    <row r="599" spans="8:10" ht="15" customHeight="1">
      <c r="H599" s="23">
        <v>0.26250000000000007</v>
      </c>
      <c r="I599" s="23">
        <v>8.6250000000000007E-2</v>
      </c>
      <c r="J599" s="19">
        <v>7370554752523928</v>
      </c>
    </row>
    <row r="600" spans="8:10" ht="15" customHeight="1">
      <c r="H600" s="23">
        <v>0.26250000000000007</v>
      </c>
      <c r="I600" s="23">
        <v>9.0000000000000011E-2</v>
      </c>
      <c r="J600" s="19">
        <v>7368412231199088</v>
      </c>
    </row>
    <row r="601" spans="8:10" ht="15" customHeight="1">
      <c r="H601" s="23">
        <v>0.26250000000000007</v>
      </c>
      <c r="I601" s="23">
        <v>9.3750000000000014E-2</v>
      </c>
      <c r="J601" s="19">
        <v>7366297695265536</v>
      </c>
    </row>
    <row r="602" spans="8:10" ht="15" customHeight="1">
      <c r="H602" s="23">
        <v>0.26250000000000007</v>
      </c>
      <c r="I602" s="23">
        <v>9.7500000000000017E-2</v>
      </c>
      <c r="J602" s="19">
        <v>7364208452190488</v>
      </c>
    </row>
    <row r="603" spans="8:10" ht="15" customHeight="1">
      <c r="H603" s="23">
        <v>0.26250000000000007</v>
      </c>
      <c r="I603" s="23">
        <v>0.10125000000000002</v>
      </c>
      <c r="J603" s="19">
        <v>7362147141157872</v>
      </c>
    </row>
    <row r="604" spans="8:10" ht="15" customHeight="1">
      <c r="H604" s="23">
        <v>0.26250000000000007</v>
      </c>
      <c r="I604" s="23">
        <v>0.10500000000000001</v>
      </c>
      <c r="J604" s="19">
        <v>7360111327792464</v>
      </c>
    </row>
    <row r="605" spans="8:10" ht="15" customHeight="1">
      <c r="H605" s="23">
        <v>0.26250000000000007</v>
      </c>
      <c r="I605" s="23">
        <v>0.10875000000000001</v>
      </c>
      <c r="J605" s="19">
        <v>7358103418038160</v>
      </c>
    </row>
    <row r="606" spans="8:10" ht="15" customHeight="1">
      <c r="H606" s="23">
        <v>0.26250000000000007</v>
      </c>
      <c r="I606" s="23">
        <v>0.11250000000000002</v>
      </c>
      <c r="J606" s="19">
        <v>7356121172946064</v>
      </c>
    </row>
    <row r="607" spans="8:10" ht="15" customHeight="1">
      <c r="H607" s="23">
        <v>0.26250000000000007</v>
      </c>
      <c r="I607" s="23">
        <v>0.11625000000000002</v>
      </c>
      <c r="J607" s="19">
        <v>7354166820524368</v>
      </c>
    </row>
    <row r="608" spans="8:10" ht="15" customHeight="1">
      <c r="H608" s="23">
        <v>0.26250000000000007</v>
      </c>
      <c r="I608" s="23">
        <v>0.12000000000000002</v>
      </c>
      <c r="J608" s="19">
        <v>7352238270056944</v>
      </c>
    </row>
    <row r="609" spans="8:10" ht="15" customHeight="1">
      <c r="H609" s="23">
        <v>0.26250000000000007</v>
      </c>
      <c r="I609" s="23">
        <v>0.12375000000000001</v>
      </c>
      <c r="J609" s="19">
        <v>7350337616678408</v>
      </c>
    </row>
    <row r="610" spans="8:10" ht="15" customHeight="1">
      <c r="H610" s="23">
        <v>0.26250000000000007</v>
      </c>
      <c r="I610" s="23">
        <v>0.12750000000000003</v>
      </c>
      <c r="J610" s="19">
        <v>7348462882416464</v>
      </c>
    </row>
    <row r="611" spans="8:10" ht="15" customHeight="1">
      <c r="H611" s="23">
        <v>0.26250000000000007</v>
      </c>
      <c r="I611" s="23">
        <v>0.13125000000000003</v>
      </c>
      <c r="J611" s="19">
        <v>7346616068085096</v>
      </c>
    </row>
    <row r="612" spans="8:10" ht="15" customHeight="1">
      <c r="H612" s="23">
        <v>0.26250000000000007</v>
      </c>
      <c r="I612" s="23">
        <v>0.13500000000000001</v>
      </c>
      <c r="J612" s="19">
        <v>7344795278852312</v>
      </c>
    </row>
    <row r="613" spans="8:10" ht="15" customHeight="1">
      <c r="H613" s="23">
        <v>0.26250000000000007</v>
      </c>
      <c r="I613" s="23">
        <v>0.13875000000000001</v>
      </c>
      <c r="J613" s="19">
        <v>7343002445804080</v>
      </c>
    </row>
    <row r="614" spans="8:10" ht="15" customHeight="1">
      <c r="H614" s="23">
        <v>0.26250000000000007</v>
      </c>
      <c r="I614" s="23">
        <v>0.14250000000000002</v>
      </c>
      <c r="J614" s="19">
        <v>7341235703144968</v>
      </c>
    </row>
    <row r="615" spans="8:10" ht="15" customHeight="1">
      <c r="H615" s="23">
        <v>0.26250000000000007</v>
      </c>
      <c r="I615" s="23">
        <v>0.14625000000000002</v>
      </c>
      <c r="J615" s="19">
        <v>7339496854597840</v>
      </c>
    </row>
    <row r="616" spans="8:10" ht="15" customHeight="1">
      <c r="H616" s="23">
        <v>0.26250000000000007</v>
      </c>
      <c r="I616" s="23">
        <v>0.15000000000000002</v>
      </c>
      <c r="J616" s="19">
        <v>7337783819061264</v>
      </c>
    </row>
    <row r="617" spans="8:10" ht="15" customHeight="1">
      <c r="H617" s="23">
        <v>0.28125000000000006</v>
      </c>
      <c r="I617" s="23">
        <v>0</v>
      </c>
      <c r="J617" s="19">
        <v>7423908424771328</v>
      </c>
    </row>
    <row r="618" spans="8:10" ht="15" customHeight="1">
      <c r="H618" s="23">
        <v>0.28125000000000006</v>
      </c>
      <c r="I618" s="23">
        <v>3.7500000000000007E-3</v>
      </c>
      <c r="J618" s="19">
        <v>7424387693036704</v>
      </c>
    </row>
    <row r="619" spans="8:10" ht="15" customHeight="1">
      <c r="H619" s="23">
        <v>0.28125000000000006</v>
      </c>
      <c r="I619" s="23">
        <v>7.5000000000000015E-3</v>
      </c>
      <c r="J619" s="19">
        <v>7422306727822664</v>
      </c>
    </row>
    <row r="620" spans="8:10" ht="15" customHeight="1">
      <c r="H620" s="23">
        <v>0.28125000000000006</v>
      </c>
      <c r="I620" s="23">
        <v>1.1250000000000001E-2</v>
      </c>
      <c r="J620" s="19">
        <v>7419872445902824</v>
      </c>
    </row>
    <row r="621" spans="8:10" ht="15" customHeight="1">
      <c r="H621" s="23">
        <v>0.28125000000000006</v>
      </c>
      <c r="I621" s="23">
        <v>1.5000000000000003E-2</v>
      </c>
      <c r="J621" s="19">
        <v>7417243838420464</v>
      </c>
    </row>
    <row r="622" spans="8:10" ht="15" customHeight="1">
      <c r="H622" s="23">
        <v>0.28125000000000006</v>
      </c>
      <c r="I622" s="23">
        <v>1.8750000000000003E-2</v>
      </c>
      <c r="J622" s="19">
        <v>7414631120537784</v>
      </c>
    </row>
    <row r="623" spans="8:10" ht="15" customHeight="1">
      <c r="H623" s="23">
        <v>0.28125000000000006</v>
      </c>
      <c r="I623" s="23">
        <v>2.2500000000000003E-2</v>
      </c>
      <c r="J623" s="19">
        <v>7412015936878792</v>
      </c>
    </row>
    <row r="624" spans="8:10" ht="15" customHeight="1">
      <c r="H624" s="23">
        <v>0.28125000000000006</v>
      </c>
      <c r="I624" s="23">
        <v>2.6250000000000002E-2</v>
      </c>
      <c r="J624" s="19">
        <v>7409443604095120</v>
      </c>
    </row>
    <row r="625" spans="8:10" ht="15" customHeight="1">
      <c r="H625" s="23">
        <v>0.28125000000000006</v>
      </c>
      <c r="I625" s="23">
        <v>3.0000000000000006E-2</v>
      </c>
      <c r="J625" s="19">
        <v>7406884393060320</v>
      </c>
    </row>
    <row r="626" spans="8:10" ht="15" customHeight="1">
      <c r="H626" s="23">
        <v>0.28125000000000006</v>
      </c>
      <c r="I626" s="23">
        <v>3.3750000000000002E-2</v>
      </c>
      <c r="J626" s="19">
        <v>7404360571220160</v>
      </c>
    </row>
    <row r="627" spans="8:10" ht="15" customHeight="1">
      <c r="H627" s="23">
        <v>0.28125000000000006</v>
      </c>
      <c r="I627" s="23">
        <v>3.7500000000000006E-2</v>
      </c>
      <c r="J627" s="19">
        <v>7401854826194784</v>
      </c>
    </row>
    <row r="628" spans="8:10" ht="15" customHeight="1">
      <c r="H628" s="23">
        <v>0.28125000000000006</v>
      </c>
      <c r="I628" s="23">
        <v>4.1250000000000009E-2</v>
      </c>
      <c r="J628" s="19">
        <v>7399381178230264</v>
      </c>
    </row>
    <row r="629" spans="8:10" ht="15" customHeight="1">
      <c r="H629" s="23">
        <v>0.28125000000000006</v>
      </c>
      <c r="I629" s="23">
        <v>4.5000000000000005E-2</v>
      </c>
      <c r="J629" s="19">
        <v>7396928128641544</v>
      </c>
    </row>
    <row r="630" spans="8:10" ht="15" customHeight="1">
      <c r="H630" s="23">
        <v>0.28125000000000006</v>
      </c>
      <c r="I630" s="23">
        <v>4.8750000000000009E-2</v>
      </c>
      <c r="J630" s="19">
        <v>7394505436504520</v>
      </c>
    </row>
    <row r="631" spans="8:10" ht="15" customHeight="1">
      <c r="H631" s="23">
        <v>0.28125000000000006</v>
      </c>
      <c r="I631" s="23">
        <v>5.2500000000000005E-2</v>
      </c>
      <c r="J631" s="19">
        <v>7392104822758736</v>
      </c>
    </row>
    <row r="632" spans="8:10" ht="15" customHeight="1">
      <c r="H632" s="23">
        <v>0.28125000000000006</v>
      </c>
      <c r="I632" s="23">
        <v>5.6250000000000008E-2</v>
      </c>
      <c r="J632" s="19">
        <v>7389733554187488</v>
      </c>
    </row>
    <row r="633" spans="8:10" ht="15" customHeight="1">
      <c r="H633" s="23">
        <v>0.28125000000000006</v>
      </c>
      <c r="I633" s="23">
        <v>6.0000000000000012E-2</v>
      </c>
      <c r="J633" s="19">
        <v>7387385319378792</v>
      </c>
    </row>
    <row r="634" spans="8:10" ht="15" customHeight="1">
      <c r="H634" s="23">
        <v>0.28125000000000006</v>
      </c>
      <c r="I634" s="23">
        <v>6.3750000000000015E-2</v>
      </c>
      <c r="J634" s="19">
        <v>7385065803695592</v>
      </c>
    </row>
    <row r="635" spans="8:10" ht="15" customHeight="1">
      <c r="H635" s="23">
        <v>0.28125000000000006</v>
      </c>
      <c r="I635" s="23">
        <v>6.7500000000000004E-2</v>
      </c>
      <c r="J635" s="19">
        <v>7382769982628048</v>
      </c>
    </row>
    <row r="636" spans="8:10" ht="15" customHeight="1">
      <c r="H636" s="23">
        <v>0.28125000000000006</v>
      </c>
      <c r="I636" s="23">
        <v>7.1250000000000008E-2</v>
      </c>
      <c r="J636" s="19">
        <v>7380502477923848</v>
      </c>
    </row>
    <row r="637" spans="8:10" ht="15" customHeight="1">
      <c r="H637" s="23">
        <v>0.28125000000000006</v>
      </c>
      <c r="I637" s="23">
        <v>7.5000000000000011E-2</v>
      </c>
      <c r="J637" s="19">
        <v>7378259149116968</v>
      </c>
    </row>
    <row r="638" spans="8:10" ht="15" customHeight="1">
      <c r="H638" s="23">
        <v>0.28125000000000006</v>
      </c>
      <c r="I638" s="23">
        <v>7.8750000000000014E-2</v>
      </c>
      <c r="J638" s="19">
        <v>7376043870970176</v>
      </c>
    </row>
    <row r="639" spans="8:10" ht="15" customHeight="1">
      <c r="H639" s="23">
        <v>0.28125000000000006</v>
      </c>
      <c r="I639" s="23">
        <v>8.2500000000000018E-2</v>
      </c>
      <c r="J639" s="19">
        <v>7373853132726112</v>
      </c>
    </row>
    <row r="640" spans="8:10" ht="15" customHeight="1">
      <c r="H640" s="23">
        <v>0.28125000000000006</v>
      </c>
      <c r="I640" s="23">
        <v>8.6250000000000007E-2</v>
      </c>
      <c r="J640" s="19">
        <v>7371690267117520</v>
      </c>
    </row>
    <row r="641" spans="8:10" ht="15" customHeight="1">
      <c r="H641" s="23">
        <v>0.28125000000000006</v>
      </c>
      <c r="I641" s="23">
        <v>9.0000000000000011E-2</v>
      </c>
      <c r="J641" s="19">
        <v>7369552223955976</v>
      </c>
    </row>
    <row r="642" spans="8:10" ht="15" customHeight="1">
      <c r="H642" s="23">
        <v>0.28125000000000006</v>
      </c>
      <c r="I642" s="23">
        <v>9.3750000000000014E-2</v>
      </c>
      <c r="J642" s="19">
        <v>7367441932902608</v>
      </c>
    </row>
    <row r="643" spans="8:10" ht="15" customHeight="1">
      <c r="H643" s="23">
        <v>0.28125000000000006</v>
      </c>
      <c r="I643" s="23">
        <v>9.7500000000000017E-2</v>
      </c>
      <c r="J643" s="19">
        <v>7365356686804168</v>
      </c>
    </row>
    <row r="644" spans="8:10" ht="15" customHeight="1">
      <c r="H644" s="23">
        <v>0.28125000000000006</v>
      </c>
      <c r="I644" s="23">
        <v>0.10125000000000002</v>
      </c>
      <c r="J644" s="19">
        <v>7363299110200056</v>
      </c>
    </row>
    <row r="645" spans="8:10" ht="15" customHeight="1">
      <c r="H645" s="23">
        <v>0.28125000000000006</v>
      </c>
      <c r="I645" s="23">
        <v>0.10500000000000001</v>
      </c>
      <c r="J645" s="19">
        <v>7361266753985952</v>
      </c>
    </row>
    <row r="646" spans="8:10" ht="15" customHeight="1">
      <c r="H646" s="23">
        <v>0.28125000000000006</v>
      </c>
      <c r="I646" s="23">
        <v>0.10875000000000001</v>
      </c>
      <c r="J646" s="19">
        <v>7359262008901696</v>
      </c>
    </row>
    <row r="647" spans="8:10" ht="15" customHeight="1">
      <c r="H647" s="23">
        <v>0.28125000000000006</v>
      </c>
      <c r="I647" s="23">
        <v>0.11250000000000002</v>
      </c>
      <c r="J647" s="19">
        <v>7357282619902312</v>
      </c>
    </row>
    <row r="648" spans="8:10" ht="15" customHeight="1">
      <c r="H648" s="23">
        <v>0.28125000000000006</v>
      </c>
      <c r="I648" s="23">
        <v>0.11625000000000002</v>
      </c>
      <c r="J648" s="19">
        <v>7355330797100272</v>
      </c>
    </row>
    <row r="649" spans="8:10" ht="15" customHeight="1">
      <c r="H649" s="23">
        <v>0.28125000000000006</v>
      </c>
      <c r="I649" s="23">
        <v>0.12000000000000002</v>
      </c>
      <c r="J649" s="19">
        <v>7353404428916232</v>
      </c>
    </row>
    <row r="650" spans="8:10" ht="15" customHeight="1">
      <c r="H650" s="23">
        <v>0.28125000000000006</v>
      </c>
      <c r="I650" s="23">
        <v>0.12375000000000001</v>
      </c>
      <c r="J650" s="19">
        <v>7351505584813744</v>
      </c>
    </row>
    <row r="651" spans="8:10" ht="15" customHeight="1">
      <c r="H651" s="23">
        <v>0.28125000000000006</v>
      </c>
      <c r="I651" s="23">
        <v>0.12750000000000003</v>
      </c>
      <c r="J651" s="19">
        <v>7349632254255664</v>
      </c>
    </row>
    <row r="652" spans="8:10" ht="15" customHeight="1">
      <c r="H652" s="23">
        <v>0.28125000000000006</v>
      </c>
      <c r="I652" s="23">
        <v>0.13125000000000003</v>
      </c>
      <c r="J652" s="19">
        <v>7347786396639616</v>
      </c>
    </row>
    <row r="653" spans="8:10" ht="15" customHeight="1">
      <c r="H653" s="23">
        <v>0.28125000000000006</v>
      </c>
      <c r="I653" s="23">
        <v>0.13500000000000001</v>
      </c>
      <c r="J653" s="19">
        <v>7345966067528592</v>
      </c>
    </row>
    <row r="654" spans="8:10" ht="15" customHeight="1">
      <c r="H654" s="23">
        <v>0.28125000000000006</v>
      </c>
      <c r="I654" s="23">
        <v>0.13875000000000001</v>
      </c>
      <c r="J654" s="19">
        <v>7344173148992384</v>
      </c>
    </row>
    <row r="655" spans="8:10" ht="15" customHeight="1">
      <c r="H655" s="23">
        <v>0.28125000000000006</v>
      </c>
      <c r="I655" s="23">
        <v>0.14250000000000002</v>
      </c>
      <c r="J655" s="19">
        <v>7342405758014664</v>
      </c>
    </row>
    <row r="656" spans="8:10" ht="15" customHeight="1">
      <c r="H656" s="23">
        <v>0.28125000000000006</v>
      </c>
      <c r="I656" s="23">
        <v>0.14625000000000002</v>
      </c>
      <c r="J656" s="19">
        <v>7340665798415672</v>
      </c>
    </row>
    <row r="657" spans="8:10" ht="15" customHeight="1">
      <c r="H657" s="23">
        <v>0.28125000000000006</v>
      </c>
      <c r="I657" s="23">
        <v>0.15000000000000002</v>
      </c>
      <c r="J657" s="19">
        <v>7338951617953744</v>
      </c>
    </row>
    <row r="658" spans="8:10" ht="15" customHeight="1">
      <c r="H658" s="23">
        <v>0.30000000000000004</v>
      </c>
      <c r="I658" s="23">
        <v>0</v>
      </c>
      <c r="J658" s="19">
        <v>7424880013342160</v>
      </c>
    </row>
    <row r="659" spans="8:10" ht="15" customHeight="1">
      <c r="H659" s="23">
        <v>0.30000000000000004</v>
      </c>
      <c r="I659" s="23">
        <v>3.7500000000000007E-3</v>
      </c>
      <c r="J659" s="19">
        <v>7425363949885712</v>
      </c>
    </row>
    <row r="660" spans="8:10" ht="15" customHeight="1">
      <c r="H660" s="23">
        <v>0.30000000000000004</v>
      </c>
      <c r="I660" s="23">
        <v>7.5000000000000015E-3</v>
      </c>
      <c r="J660" s="19">
        <v>7423287726892400</v>
      </c>
    </row>
    <row r="661" spans="8:10" ht="15" customHeight="1">
      <c r="H661" s="23">
        <v>0.30000000000000004</v>
      </c>
      <c r="I661" s="23">
        <v>1.1250000000000001E-2</v>
      </c>
      <c r="J661" s="19">
        <v>7420858233497608</v>
      </c>
    </row>
    <row r="662" spans="8:10" ht="15" customHeight="1">
      <c r="H662" s="23">
        <v>0.30000000000000004</v>
      </c>
      <c r="I662" s="23">
        <v>1.5000000000000003E-2</v>
      </c>
      <c r="J662" s="19">
        <v>7418234451581776</v>
      </c>
    </row>
    <row r="663" spans="8:10" ht="15" customHeight="1">
      <c r="H663" s="23">
        <v>0.30000000000000004</v>
      </c>
      <c r="I663" s="23">
        <v>1.8750000000000003E-2</v>
      </c>
      <c r="J663" s="19">
        <v>7415626586160952</v>
      </c>
    </row>
    <row r="664" spans="8:10" ht="15" customHeight="1">
      <c r="H664" s="23">
        <v>0.30000000000000004</v>
      </c>
      <c r="I664" s="23">
        <v>2.2500000000000003E-2</v>
      </c>
      <c r="J664" s="19">
        <v>7413016273414536</v>
      </c>
    </row>
    <row r="665" spans="8:10" ht="15" customHeight="1">
      <c r="H665" s="23">
        <v>0.30000000000000004</v>
      </c>
      <c r="I665" s="23">
        <v>2.6250000000000002E-2</v>
      </c>
      <c r="J665" s="19">
        <v>7410448820589256</v>
      </c>
    </row>
    <row r="666" spans="8:10" ht="15" customHeight="1">
      <c r="H666" s="23">
        <v>0.30000000000000004</v>
      </c>
      <c r="I666" s="23">
        <v>3.0000000000000006E-2</v>
      </c>
      <c r="J666" s="19">
        <v>7407894489483720</v>
      </c>
    </row>
    <row r="667" spans="8:10" ht="15" customHeight="1">
      <c r="H667" s="23">
        <v>0.30000000000000004</v>
      </c>
      <c r="I667" s="23">
        <v>3.3750000000000002E-2</v>
      </c>
      <c r="J667" s="19">
        <v>7405375537654432</v>
      </c>
    </row>
    <row r="668" spans="8:10" ht="15" customHeight="1">
      <c r="H668" s="23">
        <v>0.30000000000000004</v>
      </c>
      <c r="I668" s="23">
        <v>3.7500000000000006E-2</v>
      </c>
      <c r="J668" s="19">
        <v>7402874642886328</v>
      </c>
    </row>
    <row r="669" spans="8:10" ht="15" customHeight="1">
      <c r="H669" s="23">
        <v>0.30000000000000004</v>
      </c>
      <c r="I669" s="23">
        <v>4.1250000000000009E-2</v>
      </c>
      <c r="J669" s="19">
        <v>7400405815020512</v>
      </c>
    </row>
    <row r="670" spans="8:10" ht="15" customHeight="1">
      <c r="H670" s="23">
        <v>0.30000000000000004</v>
      </c>
      <c r="I670" s="23">
        <v>4.5000000000000005E-2</v>
      </c>
      <c r="J670" s="19">
        <v>7397957544948784</v>
      </c>
    </row>
    <row r="671" spans="8:10" ht="15" customHeight="1">
      <c r="H671" s="23">
        <v>0.30000000000000004</v>
      </c>
      <c r="I671" s="23">
        <v>4.8750000000000009E-2</v>
      </c>
      <c r="J671" s="19">
        <v>7395539580906760</v>
      </c>
    </row>
    <row r="672" spans="8:10" ht="15" customHeight="1">
      <c r="H672" s="23">
        <v>0.30000000000000004</v>
      </c>
      <c r="I672" s="23">
        <v>5.2500000000000005E-2</v>
      </c>
      <c r="J672" s="19">
        <v>7393143632968744</v>
      </c>
    </row>
    <row r="673" spans="8:10" ht="15" customHeight="1">
      <c r="H673" s="23">
        <v>0.30000000000000004</v>
      </c>
      <c r="I673" s="23">
        <v>5.6250000000000008E-2</v>
      </c>
      <c r="J673" s="19">
        <v>7390776956751944</v>
      </c>
    </row>
    <row r="674" spans="8:10" ht="15" customHeight="1">
      <c r="H674" s="23">
        <v>0.30000000000000004</v>
      </c>
      <c r="I674" s="23">
        <v>6.0000000000000012E-2</v>
      </c>
      <c r="J674" s="19">
        <v>7388433229679504</v>
      </c>
    </row>
    <row r="675" spans="8:10" ht="15" customHeight="1">
      <c r="H675" s="23">
        <v>0.30000000000000004</v>
      </c>
      <c r="I675" s="23">
        <v>6.3750000000000015E-2</v>
      </c>
      <c r="J675" s="19">
        <v>7386118125749456</v>
      </c>
    </row>
    <row r="676" spans="8:10" ht="15" customHeight="1">
      <c r="H676" s="23">
        <v>0.30000000000000004</v>
      </c>
      <c r="I676" s="23">
        <v>6.7500000000000004E-2</v>
      </c>
      <c r="J676" s="19">
        <v>7383826609132992</v>
      </c>
    </row>
    <row r="677" spans="8:10" ht="15" customHeight="1">
      <c r="H677" s="23">
        <v>0.30000000000000004</v>
      </c>
      <c r="I677" s="23">
        <v>7.1250000000000008E-2</v>
      </c>
      <c r="J677" s="19">
        <v>7381563290154552</v>
      </c>
    </row>
    <row r="678" spans="8:10" ht="15" customHeight="1">
      <c r="H678" s="23">
        <v>0.30000000000000004</v>
      </c>
      <c r="I678" s="23">
        <v>7.5000000000000011E-2</v>
      </c>
      <c r="J678" s="19">
        <v>7379324017029648</v>
      </c>
    </row>
    <row r="679" spans="8:10" ht="15" customHeight="1">
      <c r="H679" s="23">
        <v>0.30000000000000004</v>
      </c>
      <c r="I679" s="23">
        <v>7.8750000000000014E-2</v>
      </c>
      <c r="J679" s="19">
        <v>7377112653194984</v>
      </c>
    </row>
    <row r="680" spans="8:10" ht="15" customHeight="1">
      <c r="H680" s="23">
        <v>0.30000000000000004</v>
      </c>
      <c r="I680" s="23">
        <v>8.2500000000000018E-2</v>
      </c>
      <c r="J680" s="19">
        <v>7374925676746816</v>
      </c>
    </row>
    <row r="681" spans="8:10" ht="15" customHeight="1">
      <c r="H681" s="23">
        <v>0.30000000000000004</v>
      </c>
      <c r="I681" s="23">
        <v>8.6250000000000007E-2</v>
      </c>
      <c r="J681" s="19">
        <v>7372766409371872</v>
      </c>
    </row>
    <row r="682" spans="8:10" ht="15" customHeight="1">
      <c r="H682" s="23">
        <v>0.30000000000000004</v>
      </c>
      <c r="I682" s="23">
        <v>9.0000000000000011E-2</v>
      </c>
      <c r="J682" s="19">
        <v>7370631790119576</v>
      </c>
    </row>
    <row r="683" spans="8:10" ht="15" customHeight="1">
      <c r="H683" s="23">
        <v>0.30000000000000004</v>
      </c>
      <c r="I683" s="23">
        <v>9.3750000000000014E-2</v>
      </c>
      <c r="J683" s="19">
        <v>7368524738136576</v>
      </c>
    </row>
    <row r="684" spans="8:10" ht="15" customHeight="1">
      <c r="H684" s="23">
        <v>0.30000000000000004</v>
      </c>
      <c r="I684" s="23">
        <v>9.7500000000000017E-2</v>
      </c>
      <c r="J684" s="19">
        <v>7366442536215832</v>
      </c>
    </row>
    <row r="685" spans="8:10" ht="15" customHeight="1">
      <c r="H685" s="23">
        <v>0.30000000000000004</v>
      </c>
      <c r="I685" s="23">
        <v>0.10125000000000002</v>
      </c>
      <c r="J685" s="19">
        <v>7364387799354224</v>
      </c>
    </row>
    <row r="686" spans="8:10" ht="15" customHeight="1">
      <c r="H686" s="23">
        <v>0.30000000000000004</v>
      </c>
      <c r="I686" s="23">
        <v>0.10500000000000001</v>
      </c>
      <c r="J686" s="19">
        <v>7362358069737896</v>
      </c>
    </row>
    <row r="687" spans="8:10" ht="15" customHeight="1">
      <c r="H687" s="23">
        <v>0.30000000000000004</v>
      </c>
      <c r="I687" s="23">
        <v>0.10875000000000001</v>
      </c>
      <c r="J687" s="19">
        <v>7360355730486576</v>
      </c>
    </row>
    <row r="688" spans="8:10" ht="15" customHeight="1">
      <c r="H688" s="23">
        <v>0.30000000000000004</v>
      </c>
      <c r="I688" s="23">
        <v>0.11250000000000002</v>
      </c>
      <c r="J688" s="19">
        <v>7358378520644000</v>
      </c>
    </row>
    <row r="689" spans="8:10" ht="15" customHeight="1">
      <c r="H689" s="23">
        <v>0.30000000000000004</v>
      </c>
      <c r="I689" s="23">
        <v>0.11625000000000002</v>
      </c>
      <c r="J689" s="19">
        <v>7356428646846312</v>
      </c>
    </row>
    <row r="690" spans="8:10" ht="15" customHeight="1">
      <c r="H690" s="23">
        <v>0.30000000000000004</v>
      </c>
      <c r="I690" s="23">
        <v>0.12000000000000002</v>
      </c>
      <c r="J690" s="19">
        <v>7354503997740840</v>
      </c>
    </row>
    <row r="691" spans="8:10" ht="15" customHeight="1">
      <c r="H691" s="23">
        <v>0.30000000000000004</v>
      </c>
      <c r="I691" s="23">
        <v>0.12375000000000001</v>
      </c>
      <c r="J691" s="19">
        <v>7352606648281352</v>
      </c>
    </row>
    <row r="692" spans="8:10" ht="15" customHeight="1">
      <c r="H692" s="23">
        <v>0.30000000000000004</v>
      </c>
      <c r="I692" s="23">
        <v>0.12750000000000003</v>
      </c>
      <c r="J692" s="19">
        <v>7350734600751648</v>
      </c>
    </row>
    <row r="693" spans="8:10" ht="15" customHeight="1">
      <c r="H693" s="23">
        <v>0.30000000000000004</v>
      </c>
      <c r="I693" s="23">
        <v>0.13125000000000003</v>
      </c>
      <c r="J693" s="19">
        <v>7348889836362040</v>
      </c>
    </row>
    <row r="694" spans="8:10" ht="15" customHeight="1">
      <c r="H694" s="23">
        <v>0.30000000000000004</v>
      </c>
      <c r="I694" s="23">
        <v>0.13500000000000001</v>
      </c>
      <c r="J694" s="19">
        <v>7347070441080712</v>
      </c>
    </row>
    <row r="695" spans="8:10" ht="15" customHeight="1">
      <c r="H695" s="23">
        <v>0.30000000000000004</v>
      </c>
      <c r="I695" s="23">
        <v>0.13875000000000001</v>
      </c>
      <c r="J695" s="19">
        <v>7345278328064680</v>
      </c>
    </row>
    <row r="696" spans="8:10" ht="15" customHeight="1">
      <c r="H696" s="23">
        <v>0.30000000000000004</v>
      </c>
      <c r="I696" s="23">
        <v>0.14250000000000002</v>
      </c>
      <c r="J696" s="19">
        <v>7343511618438856</v>
      </c>
    </row>
    <row r="697" spans="8:10" ht="15" customHeight="1">
      <c r="H697" s="23">
        <v>0.30000000000000004</v>
      </c>
      <c r="I697" s="23">
        <v>0.14625000000000002</v>
      </c>
      <c r="J697" s="19">
        <v>7341772116921248</v>
      </c>
    </row>
    <row r="698" spans="8:10" ht="15" customHeight="1">
      <c r="H698" s="23">
        <v>0.30000000000000004</v>
      </c>
      <c r="I698" s="23">
        <v>0.15000000000000002</v>
      </c>
      <c r="J698" s="19">
        <v>7340057780665968</v>
      </c>
    </row>
    <row r="699" spans="8:10" ht="15" customHeight="1">
      <c r="H699" s="23">
        <v>0.31875000000000003</v>
      </c>
      <c r="I699" s="23">
        <v>0</v>
      </c>
      <c r="J699" s="19">
        <v>7425820017956232</v>
      </c>
    </row>
    <row r="700" spans="8:10" ht="15" customHeight="1">
      <c r="H700" s="23">
        <v>0.31875000000000003</v>
      </c>
      <c r="I700" s="23">
        <v>3.7500000000000007E-3</v>
      </c>
      <c r="J700" s="19">
        <v>7426307600094616</v>
      </c>
    </row>
    <row r="701" spans="8:10" ht="15" customHeight="1">
      <c r="H701" s="23">
        <v>0.31875000000000003</v>
      </c>
      <c r="I701" s="23">
        <v>7.5000000000000015E-3</v>
      </c>
      <c r="J701" s="19">
        <v>7424235084148992</v>
      </c>
    </row>
    <row r="702" spans="8:10" ht="15" customHeight="1">
      <c r="H702" s="23">
        <v>0.31875000000000003</v>
      </c>
      <c r="I702" s="23">
        <v>1.1250000000000001E-2</v>
      </c>
      <c r="J702" s="19">
        <v>7421809333606664</v>
      </c>
    </row>
    <row r="703" spans="8:10" ht="15" customHeight="1">
      <c r="H703" s="23">
        <v>0.31875000000000003</v>
      </c>
      <c r="I703" s="23">
        <v>1.5000000000000003E-2</v>
      </c>
      <c r="J703" s="19">
        <v>7419189322586472</v>
      </c>
    </row>
    <row r="704" spans="8:10" ht="15" customHeight="1">
      <c r="H704" s="23">
        <v>0.31875000000000003</v>
      </c>
      <c r="I704" s="23">
        <v>1.8750000000000003E-2</v>
      </c>
      <c r="J704" s="19">
        <v>7416585247540048</v>
      </c>
    </row>
    <row r="705" spans="8:10" ht="15" customHeight="1">
      <c r="H705" s="23">
        <v>0.31875000000000003</v>
      </c>
      <c r="I705" s="23">
        <v>2.2500000000000003E-2</v>
      </c>
      <c r="J705" s="19">
        <v>7413978737823776</v>
      </c>
    </row>
    <row r="706" spans="8:10" ht="15" customHeight="1">
      <c r="H706" s="23">
        <v>0.31875000000000003</v>
      </c>
      <c r="I706" s="23">
        <v>2.6250000000000002E-2</v>
      </c>
      <c r="J706" s="19">
        <v>7411415093021432</v>
      </c>
    </row>
    <row r="707" spans="8:10" ht="15" customHeight="1">
      <c r="H707" s="23">
        <v>0.31875000000000003</v>
      </c>
      <c r="I707" s="23">
        <v>3.0000000000000006E-2</v>
      </c>
      <c r="J707" s="19">
        <v>7408864567692144</v>
      </c>
    </row>
    <row r="708" spans="8:10" ht="15" customHeight="1">
      <c r="H708" s="23">
        <v>0.31875000000000003</v>
      </c>
      <c r="I708" s="23">
        <v>3.3750000000000002E-2</v>
      </c>
      <c r="J708" s="19">
        <v>7406349411460768</v>
      </c>
    </row>
    <row r="709" spans="8:10" ht="15" customHeight="1">
      <c r="H709" s="23">
        <v>0.31875000000000003</v>
      </c>
      <c r="I709" s="23">
        <v>3.7500000000000006E-2</v>
      </c>
      <c r="J709" s="19">
        <v>7403852294332384</v>
      </c>
    </row>
    <row r="710" spans="8:10" ht="15" customHeight="1">
      <c r="H710" s="23">
        <v>0.31875000000000003</v>
      </c>
      <c r="I710" s="23">
        <v>4.1250000000000009E-2</v>
      </c>
      <c r="J710" s="19">
        <v>7401387217908240</v>
      </c>
    </row>
    <row r="711" spans="8:10" ht="15" customHeight="1">
      <c r="H711" s="23">
        <v>0.31875000000000003</v>
      </c>
      <c r="I711" s="23">
        <v>4.5000000000000005E-2</v>
      </c>
      <c r="J711" s="19">
        <v>7398942664913464</v>
      </c>
    </row>
    <row r="712" spans="8:10" ht="15" customHeight="1">
      <c r="H712" s="23">
        <v>0.31875000000000003</v>
      </c>
      <c r="I712" s="23">
        <v>4.8750000000000009E-2</v>
      </c>
      <c r="J712" s="19">
        <v>7396528375095040</v>
      </c>
    </row>
    <row r="713" spans="8:10" ht="15" customHeight="1">
      <c r="H713" s="23">
        <v>0.31875000000000003</v>
      </c>
      <c r="I713" s="23">
        <v>5.2500000000000005E-2</v>
      </c>
      <c r="J713" s="19">
        <v>7394136050094200</v>
      </c>
    </row>
    <row r="714" spans="8:10" ht="15" customHeight="1">
      <c r="H714" s="23">
        <v>0.31875000000000003</v>
      </c>
      <c r="I714" s="23">
        <v>5.6250000000000008E-2</v>
      </c>
      <c r="J714" s="19">
        <v>7391772936875120</v>
      </c>
    </row>
    <row r="715" spans="8:10" ht="15" customHeight="1">
      <c r="H715" s="23">
        <v>0.31875000000000003</v>
      </c>
      <c r="I715" s="23">
        <v>6.0000000000000012E-2</v>
      </c>
      <c r="J715" s="19">
        <v>7389432704274200</v>
      </c>
    </row>
    <row r="716" spans="8:10" ht="15" customHeight="1">
      <c r="H716" s="23">
        <v>0.31875000000000003</v>
      </c>
      <c r="I716" s="23">
        <v>6.3750000000000015E-2</v>
      </c>
      <c r="J716" s="19">
        <v>7387121017567592</v>
      </c>
    </row>
    <row r="717" spans="8:10" ht="15" customHeight="1">
      <c r="H717" s="23">
        <v>0.31875000000000003</v>
      </c>
      <c r="I717" s="23">
        <v>6.7500000000000004E-2</v>
      </c>
      <c r="J717" s="19">
        <v>7384832832298072</v>
      </c>
    </row>
    <row r="718" spans="8:10" ht="15" customHeight="1">
      <c r="H718" s="23">
        <v>0.31875000000000003</v>
      </c>
      <c r="I718" s="23">
        <v>7.1250000000000008E-2</v>
      </c>
      <c r="J718" s="19">
        <v>7382572750100304</v>
      </c>
    </row>
    <row r="719" spans="8:10" ht="15" customHeight="1">
      <c r="H719" s="23">
        <v>0.31875000000000003</v>
      </c>
      <c r="I719" s="23">
        <v>7.5000000000000011E-2</v>
      </c>
      <c r="J719" s="19">
        <v>7380336610628960</v>
      </c>
    </row>
    <row r="720" spans="8:10" ht="15" customHeight="1">
      <c r="H720" s="23">
        <v>0.31875000000000003</v>
      </c>
      <c r="I720" s="23">
        <v>7.8750000000000014E-2</v>
      </c>
      <c r="J720" s="19">
        <v>7378128268763200</v>
      </c>
    </row>
    <row r="721" spans="8:10" ht="15" customHeight="1">
      <c r="H721" s="23">
        <v>0.31875000000000003</v>
      </c>
      <c r="I721" s="23">
        <v>8.2500000000000018E-2</v>
      </c>
      <c r="J721" s="19">
        <v>7375944194205120</v>
      </c>
    </row>
    <row r="722" spans="8:10" ht="15" customHeight="1">
      <c r="H722" s="23">
        <v>0.31875000000000003</v>
      </c>
      <c r="I722" s="23">
        <v>8.6250000000000007E-2</v>
      </c>
      <c r="J722" s="19">
        <v>7373787700299696</v>
      </c>
    </row>
    <row r="723" spans="8:10" ht="15" customHeight="1">
      <c r="H723" s="23">
        <v>0.31875000000000003</v>
      </c>
      <c r="I723" s="23">
        <v>9.0000000000000011E-2</v>
      </c>
      <c r="J723" s="19">
        <v>7371655717934112</v>
      </c>
    </row>
    <row r="724" spans="8:10" ht="15" customHeight="1">
      <c r="H724" s="23">
        <v>0.31875000000000003</v>
      </c>
      <c r="I724" s="23">
        <v>9.3750000000000014E-2</v>
      </c>
      <c r="J724" s="19">
        <v>7369551158154976</v>
      </c>
    </row>
    <row r="725" spans="8:10" ht="15" customHeight="1">
      <c r="H725" s="23">
        <v>0.31875000000000003</v>
      </c>
      <c r="I725" s="23">
        <v>9.7500000000000017E-2</v>
      </c>
      <c r="J725" s="19">
        <v>7367471295789088</v>
      </c>
    </row>
    <row r="726" spans="8:10" ht="15" customHeight="1">
      <c r="H726" s="23">
        <v>0.31875000000000003</v>
      </c>
      <c r="I726" s="23">
        <v>0.10125000000000002</v>
      </c>
      <c r="J726" s="19">
        <v>7365418737829216</v>
      </c>
    </row>
    <row r="727" spans="8:10" ht="15" customHeight="1">
      <c r="H727" s="23">
        <v>0.31875000000000003</v>
      </c>
      <c r="I727" s="23">
        <v>0.10500000000000001</v>
      </c>
      <c r="J727" s="19">
        <v>7363391018370576</v>
      </c>
    </row>
    <row r="728" spans="8:10" ht="15" customHeight="1">
      <c r="H728" s="23">
        <v>0.31875000000000003</v>
      </c>
      <c r="I728" s="23">
        <v>0.10875000000000001</v>
      </c>
      <c r="J728" s="19">
        <v>7361390512014472</v>
      </c>
    </row>
    <row r="729" spans="8:10" ht="15" customHeight="1">
      <c r="H729" s="23">
        <v>0.31875000000000003</v>
      </c>
      <c r="I729" s="23">
        <v>0.11250000000000002</v>
      </c>
      <c r="J729" s="19">
        <v>7359414948523368</v>
      </c>
    </row>
    <row r="730" spans="8:10" ht="15" customHeight="1">
      <c r="H730" s="23">
        <v>0.31875000000000003</v>
      </c>
      <c r="I730" s="23">
        <v>0.11625000000000002</v>
      </c>
      <c r="J730" s="19">
        <v>7357466523736240</v>
      </c>
    </row>
    <row r="731" spans="8:10" ht="15" customHeight="1">
      <c r="H731" s="23">
        <v>0.31875000000000003</v>
      </c>
      <c r="I731" s="23">
        <v>0.12000000000000002</v>
      </c>
      <c r="J731" s="19">
        <v>7355543113053616</v>
      </c>
    </row>
    <row r="732" spans="8:10" ht="15" customHeight="1">
      <c r="H732" s="23">
        <v>0.31875000000000003</v>
      </c>
      <c r="I732" s="23">
        <v>0.12375000000000001</v>
      </c>
      <c r="J732" s="19">
        <v>7353646774235728</v>
      </c>
    </row>
    <row r="733" spans="8:10" ht="15" customHeight="1">
      <c r="H733" s="23">
        <v>0.31875000000000003</v>
      </c>
      <c r="I733" s="23">
        <v>0.12750000000000003</v>
      </c>
      <c r="J733" s="19">
        <v>7351775486760080</v>
      </c>
    </row>
    <row r="734" spans="8:10" ht="15" customHeight="1">
      <c r="H734" s="23">
        <v>0.31875000000000003</v>
      </c>
      <c r="I734" s="23">
        <v>0.13125000000000003</v>
      </c>
      <c r="J734" s="19">
        <v>7349931201833544</v>
      </c>
    </row>
    <row r="735" spans="8:10" ht="15" customHeight="1">
      <c r="H735" s="23">
        <v>0.31875000000000003</v>
      </c>
      <c r="I735" s="23">
        <v>0.13500000000000001</v>
      </c>
      <c r="J735" s="19">
        <v>7348111968763248</v>
      </c>
    </row>
    <row r="736" spans="8:10" ht="15" customHeight="1">
      <c r="H736" s="23">
        <v>0.31875000000000003</v>
      </c>
      <c r="I736" s="23">
        <v>0.13875000000000001</v>
      </c>
      <c r="J736" s="19">
        <v>7346319664407056</v>
      </c>
    </row>
    <row r="737" spans="8:10" ht="15" customHeight="1">
      <c r="H737" s="23">
        <v>0.31875000000000003</v>
      </c>
      <c r="I737" s="23">
        <v>0.14250000000000002</v>
      </c>
      <c r="J737" s="19">
        <v>7344552398959704</v>
      </c>
    </row>
    <row r="738" spans="8:10" ht="15" customHeight="1">
      <c r="H738" s="23">
        <v>0.31875000000000003</v>
      </c>
      <c r="I738" s="23">
        <v>0.14625000000000002</v>
      </c>
      <c r="J738" s="19">
        <v>7342812060079856</v>
      </c>
    </row>
    <row r="739" spans="8:10" ht="15" customHeight="1">
      <c r="H739" s="23">
        <v>0.31875000000000003</v>
      </c>
      <c r="I739" s="23">
        <v>0.15000000000000002</v>
      </c>
      <c r="J739" s="19">
        <v>7341096951165464</v>
      </c>
    </row>
    <row r="740" spans="8:10" ht="15" customHeight="1">
      <c r="H740" s="23">
        <v>0.33750000000000002</v>
      </c>
      <c r="I740" s="23">
        <v>0</v>
      </c>
      <c r="J740" s="19">
        <v>7426727445538944</v>
      </c>
    </row>
    <row r="741" spans="8:10" ht="15" customHeight="1">
      <c r="H741" s="23">
        <v>0.33750000000000002</v>
      </c>
      <c r="I741" s="23">
        <v>3.7500000000000007E-3</v>
      </c>
      <c r="J741" s="19">
        <v>7427217793355936</v>
      </c>
    </row>
    <row r="742" spans="8:10" ht="15" customHeight="1">
      <c r="H742" s="23">
        <v>0.33750000000000002</v>
      </c>
      <c r="I742" s="23">
        <v>7.5000000000000015E-3</v>
      </c>
      <c r="J742" s="19">
        <v>7425148101697936</v>
      </c>
    </row>
    <row r="743" spans="8:10" ht="15" customHeight="1">
      <c r="H743" s="23">
        <v>0.33750000000000002</v>
      </c>
      <c r="I743" s="23">
        <v>1.1250000000000001E-2</v>
      </c>
      <c r="J743" s="19">
        <v>7422725209433312</v>
      </c>
    </row>
    <row r="744" spans="8:10" ht="15" customHeight="1">
      <c r="H744" s="23">
        <v>0.33750000000000002</v>
      </c>
      <c r="I744" s="23">
        <v>1.5000000000000003E-2</v>
      </c>
      <c r="J744" s="19">
        <v>7420108083682800</v>
      </c>
    </row>
    <row r="745" spans="8:10" ht="15" customHeight="1">
      <c r="H745" s="23">
        <v>0.33750000000000002</v>
      </c>
      <c r="I745" s="23">
        <v>1.8750000000000003E-2</v>
      </c>
      <c r="J745" s="19">
        <v>7417506913293672</v>
      </c>
    </row>
    <row r="746" spans="8:10" ht="15" customHeight="1">
      <c r="H746" s="23">
        <v>0.33750000000000002</v>
      </c>
      <c r="I746" s="23">
        <v>2.2500000000000003E-2</v>
      </c>
      <c r="J746" s="19">
        <v>7414903321846112</v>
      </c>
    </row>
    <row r="747" spans="8:10" ht="15" customHeight="1">
      <c r="H747" s="23">
        <v>0.33750000000000002</v>
      </c>
      <c r="I747" s="23">
        <v>2.6250000000000002E-2</v>
      </c>
      <c r="J747" s="19">
        <v>7412342602449056</v>
      </c>
    </row>
    <row r="748" spans="8:10" ht="15" customHeight="1">
      <c r="H748" s="23">
        <v>0.33750000000000002</v>
      </c>
      <c r="I748" s="23">
        <v>3.0000000000000006E-2</v>
      </c>
      <c r="J748" s="19">
        <v>7409795003700496</v>
      </c>
    </row>
    <row r="749" spans="8:10" ht="15" customHeight="1">
      <c r="H749" s="23">
        <v>0.33750000000000002</v>
      </c>
      <c r="I749" s="23">
        <v>3.3750000000000002E-2</v>
      </c>
      <c r="J749" s="19">
        <v>7407282768687896</v>
      </c>
    </row>
    <row r="750" spans="8:10" ht="15" customHeight="1">
      <c r="H750" s="23">
        <v>0.33750000000000002</v>
      </c>
      <c r="I750" s="23">
        <v>3.7500000000000006E-2</v>
      </c>
      <c r="J750" s="19">
        <v>7404788561114104</v>
      </c>
    </row>
    <row r="751" spans="8:10" ht="15" customHeight="1">
      <c r="H751" s="23">
        <v>0.33750000000000002</v>
      </c>
      <c r="I751" s="23">
        <v>4.1250000000000009E-2</v>
      </c>
      <c r="J751" s="19">
        <v>7402326375913512</v>
      </c>
    </row>
    <row r="752" spans="8:10" ht="15" customHeight="1">
      <c r="H752" s="23">
        <v>0.33750000000000002</v>
      </c>
      <c r="I752" s="23">
        <v>4.5000000000000005E-2</v>
      </c>
      <c r="J752" s="19">
        <v>7399884689291216</v>
      </c>
    </row>
    <row r="753" spans="8:10" ht="15" customHeight="1">
      <c r="H753" s="23">
        <v>0.33750000000000002</v>
      </c>
      <c r="I753" s="23">
        <v>4.8750000000000009E-2</v>
      </c>
      <c r="J753" s="19">
        <v>7397473234233128</v>
      </c>
    </row>
    <row r="754" spans="8:10" ht="15" customHeight="1">
      <c r="H754" s="23">
        <v>0.33750000000000002</v>
      </c>
      <c r="I754" s="23">
        <v>5.2500000000000005E-2</v>
      </c>
      <c r="J754" s="19">
        <v>7395083705738264</v>
      </c>
    </row>
    <row r="755" spans="8:10" ht="15" customHeight="1">
      <c r="H755" s="23">
        <v>0.33750000000000002</v>
      </c>
      <c r="I755" s="23">
        <v>5.6250000000000008E-2</v>
      </c>
      <c r="J755" s="19">
        <v>7392723343975288</v>
      </c>
    </row>
    <row r="756" spans="8:10" ht="15" customHeight="1">
      <c r="H756" s="23">
        <v>0.33750000000000002</v>
      </c>
      <c r="I756" s="23">
        <v>6.0000000000000012E-2</v>
      </c>
      <c r="J756" s="19">
        <v>7390385811105088</v>
      </c>
    </row>
    <row r="757" spans="8:10" ht="15" customHeight="1">
      <c r="H757" s="23">
        <v>0.33750000000000002</v>
      </c>
      <c r="I757" s="23">
        <v>6.3750000000000015E-2</v>
      </c>
      <c r="J757" s="19">
        <v>7388076765646032</v>
      </c>
    </row>
    <row r="758" spans="8:10" ht="15" customHeight="1">
      <c r="H758" s="23">
        <v>0.33750000000000002</v>
      </c>
      <c r="I758" s="23">
        <v>6.7500000000000004E-2</v>
      </c>
      <c r="J758" s="19">
        <v>7385791156519872</v>
      </c>
    </row>
    <row r="759" spans="8:10" ht="15" customHeight="1">
      <c r="H759" s="23">
        <v>0.33750000000000002</v>
      </c>
      <c r="I759" s="23">
        <v>7.1250000000000008E-2</v>
      </c>
      <c r="J759" s="19">
        <v>7383533578722336</v>
      </c>
    </row>
    <row r="760" spans="8:10" ht="15" customHeight="1">
      <c r="H760" s="23">
        <v>0.33750000000000002</v>
      </c>
      <c r="I760" s="23">
        <v>7.5000000000000011E-2</v>
      </c>
      <c r="J760" s="19">
        <v>7381299865433976</v>
      </c>
    </row>
    <row r="761" spans="8:10" ht="15" customHeight="1">
      <c r="H761" s="23">
        <v>0.33750000000000002</v>
      </c>
      <c r="I761" s="23">
        <v>7.8750000000000014E-2</v>
      </c>
      <c r="J761" s="19">
        <v>7379093865104424</v>
      </c>
    </row>
    <row r="762" spans="8:10" ht="15" customHeight="1">
      <c r="H762" s="23">
        <v>0.33750000000000002</v>
      </c>
      <c r="I762" s="23">
        <v>8.2500000000000018E-2</v>
      </c>
      <c r="J762" s="19">
        <v>7376912041211512</v>
      </c>
    </row>
    <row r="763" spans="8:10" ht="15" customHeight="1">
      <c r="H763" s="23">
        <v>0.33750000000000002</v>
      </c>
      <c r="I763" s="23">
        <v>8.6250000000000007E-2</v>
      </c>
      <c r="J763" s="19">
        <v>7374757700991792</v>
      </c>
    </row>
    <row r="764" spans="8:10" ht="15" customHeight="1">
      <c r="H764" s="23">
        <v>0.33750000000000002</v>
      </c>
      <c r="I764" s="23">
        <v>9.0000000000000011E-2</v>
      </c>
      <c r="J764" s="19">
        <v>7372627769493344</v>
      </c>
    </row>
    <row r="765" spans="8:10" ht="15" customHeight="1">
      <c r="H765" s="23">
        <v>0.33750000000000002</v>
      </c>
      <c r="I765" s="23">
        <v>9.3750000000000014E-2</v>
      </c>
      <c r="J765" s="19">
        <v>7370525152140576</v>
      </c>
    </row>
    <row r="766" spans="8:10" ht="15" customHeight="1">
      <c r="H766" s="23">
        <v>0.33750000000000002</v>
      </c>
      <c r="I766" s="23">
        <v>9.7500000000000017E-2</v>
      </c>
      <c r="J766" s="19">
        <v>7368447118532280</v>
      </c>
    </row>
    <row r="767" spans="8:10" ht="15" customHeight="1">
      <c r="H767" s="23">
        <v>0.33750000000000002</v>
      </c>
      <c r="I767" s="23">
        <v>0.10125000000000002</v>
      </c>
      <c r="J767" s="19">
        <v>7366396270845968</v>
      </c>
    </row>
    <row r="768" spans="8:10" ht="15" customHeight="1">
      <c r="H768" s="23">
        <v>0.33750000000000002</v>
      </c>
      <c r="I768" s="23">
        <v>0.10500000000000001</v>
      </c>
      <c r="J768" s="19">
        <v>7364370139040296</v>
      </c>
    </row>
    <row r="769" spans="8:10" ht="15" customHeight="1">
      <c r="H769" s="23">
        <v>0.33750000000000002</v>
      </c>
      <c r="I769" s="23">
        <v>0.10875000000000001</v>
      </c>
      <c r="J769" s="19">
        <v>7362371094446720</v>
      </c>
    </row>
    <row r="770" spans="8:10" ht="15" customHeight="1">
      <c r="H770" s="23">
        <v>0.33750000000000002</v>
      </c>
      <c r="I770" s="23">
        <v>0.11250000000000002</v>
      </c>
      <c r="J770" s="19">
        <v>7360396864932184</v>
      </c>
    </row>
    <row r="771" spans="8:10" ht="15" customHeight="1">
      <c r="H771" s="23">
        <v>0.33750000000000002</v>
      </c>
      <c r="I771" s="23">
        <v>0.11625000000000002</v>
      </c>
      <c r="J771" s="19">
        <v>7358449646387952</v>
      </c>
    </row>
    <row r="772" spans="8:10" ht="15" customHeight="1">
      <c r="H772" s="23">
        <v>0.33750000000000002</v>
      </c>
      <c r="I772" s="23">
        <v>0.12000000000000002</v>
      </c>
      <c r="J772" s="19">
        <v>7356527317250536</v>
      </c>
    </row>
    <row r="773" spans="8:10" ht="15" customHeight="1">
      <c r="H773" s="23">
        <v>0.33750000000000002</v>
      </c>
      <c r="I773" s="23">
        <v>0.12375000000000001</v>
      </c>
      <c r="J773" s="19">
        <v>7354631942554416</v>
      </c>
    </row>
    <row r="774" spans="8:10" ht="15" customHeight="1">
      <c r="H774" s="23">
        <v>0.33750000000000002</v>
      </c>
      <c r="I774" s="23">
        <v>0.12750000000000003</v>
      </c>
      <c r="J774" s="19">
        <v>7352761514977296</v>
      </c>
    </row>
    <row r="775" spans="8:10" ht="15" customHeight="1">
      <c r="H775" s="23">
        <v>0.33750000000000002</v>
      </c>
      <c r="I775" s="23">
        <v>0.13125000000000003</v>
      </c>
      <c r="J775" s="19">
        <v>7350918006189336</v>
      </c>
    </row>
    <row r="776" spans="8:10" ht="15" customHeight="1">
      <c r="H776" s="23">
        <v>0.33750000000000002</v>
      </c>
      <c r="I776" s="23">
        <v>0.13500000000000001</v>
      </c>
      <c r="J776" s="19">
        <v>7349099492901616</v>
      </c>
    </row>
    <row r="777" spans="8:10" ht="15" customHeight="1">
      <c r="H777" s="23">
        <v>0.33750000000000002</v>
      </c>
      <c r="I777" s="23">
        <v>0.13875000000000001</v>
      </c>
      <c r="J777" s="19">
        <v>7347307879858184</v>
      </c>
    </row>
    <row r="778" spans="8:10" ht="15" customHeight="1">
      <c r="H778" s="23">
        <v>0.33750000000000002</v>
      </c>
      <c r="I778" s="23">
        <v>0.14250000000000002</v>
      </c>
      <c r="J778" s="19">
        <v>7345541283113184</v>
      </c>
    </row>
    <row r="779" spans="8:10" ht="15" customHeight="1">
      <c r="H779" s="23">
        <v>0.33750000000000002</v>
      </c>
      <c r="I779" s="23">
        <v>0.14625000000000002</v>
      </c>
      <c r="J779" s="19">
        <v>7343801511969368</v>
      </c>
    </row>
    <row r="780" spans="8:10" ht="15" customHeight="1">
      <c r="H780" s="23">
        <v>0.33750000000000002</v>
      </c>
      <c r="I780" s="23">
        <v>0.15000000000000002</v>
      </c>
      <c r="J780" s="19">
        <v>7342086553809920</v>
      </c>
    </row>
    <row r="781" spans="8:10" ht="15" customHeight="1">
      <c r="H781" s="23">
        <v>0.35625000000000007</v>
      </c>
      <c r="I781" s="23">
        <v>0</v>
      </c>
      <c r="J781" s="19">
        <v>7427601378386504</v>
      </c>
    </row>
    <row r="782" spans="8:10" ht="15" customHeight="1">
      <c r="H782" s="23">
        <v>0.35625000000000007</v>
      </c>
      <c r="I782" s="23">
        <v>3.7500000000000007E-3</v>
      </c>
      <c r="J782" s="19">
        <v>7428093743628040</v>
      </c>
    </row>
    <row r="783" spans="8:10" ht="15" customHeight="1">
      <c r="H783" s="23">
        <v>0.35625000000000007</v>
      </c>
      <c r="I783" s="23">
        <v>7.5000000000000015E-3</v>
      </c>
      <c r="J783" s="19">
        <v>7426026129482272</v>
      </c>
    </row>
    <row r="784" spans="8:10" ht="15" customHeight="1">
      <c r="H784" s="23">
        <v>0.35625000000000007</v>
      </c>
      <c r="I784" s="23">
        <v>1.1250000000000001E-2</v>
      </c>
      <c r="J784" s="19">
        <v>7423605351420888</v>
      </c>
    </row>
    <row r="785" spans="8:10" ht="15" customHeight="1">
      <c r="H785" s="23">
        <v>0.35625000000000007</v>
      </c>
      <c r="I785" s="23">
        <v>1.5000000000000003E-2</v>
      </c>
      <c r="J785" s="19">
        <v>7420990370246864</v>
      </c>
    </row>
    <row r="786" spans="8:10" ht="15" customHeight="1">
      <c r="H786" s="23">
        <v>0.35625000000000007</v>
      </c>
      <c r="I786" s="23">
        <v>1.8750000000000003E-2</v>
      </c>
      <c r="J786" s="19">
        <v>7418391367940264</v>
      </c>
    </row>
    <row r="787" spans="8:10" ht="15" customHeight="1">
      <c r="H787" s="23">
        <v>0.35625000000000007</v>
      </c>
      <c r="I787" s="23">
        <v>2.2500000000000003E-2</v>
      </c>
      <c r="J787" s="19">
        <v>7415789963049384</v>
      </c>
    </row>
    <row r="788" spans="8:10" ht="15" customHeight="1">
      <c r="H788" s="23">
        <v>0.35625000000000007</v>
      </c>
      <c r="I788" s="23">
        <v>2.6250000000000002E-2</v>
      </c>
      <c r="J788" s="19">
        <v>7413231443043776</v>
      </c>
    </row>
    <row r="789" spans="8:10" ht="15" customHeight="1">
      <c r="H789" s="23">
        <v>0.35625000000000007</v>
      </c>
      <c r="I789" s="23">
        <v>3.0000000000000006E-2</v>
      </c>
      <c r="J789" s="19">
        <v>7410686051455776</v>
      </c>
    </row>
    <row r="790" spans="8:10" ht="15" customHeight="1">
      <c r="H790" s="23">
        <v>0.35625000000000007</v>
      </c>
      <c r="I790" s="23">
        <v>3.3750000000000002E-2</v>
      </c>
      <c r="J790" s="19">
        <v>7408176025822216</v>
      </c>
    </row>
    <row r="791" spans="8:10" ht="15" customHeight="1">
      <c r="H791" s="23">
        <v>0.35625000000000007</v>
      </c>
      <c r="I791" s="23">
        <v>3.7500000000000006E-2</v>
      </c>
      <c r="J791" s="19">
        <v>7405684024593896</v>
      </c>
    </row>
    <row r="792" spans="8:10" ht="15" customHeight="1">
      <c r="H792" s="23">
        <v>0.35625000000000007</v>
      </c>
      <c r="I792" s="23">
        <v>4.1250000000000009E-2</v>
      </c>
      <c r="J792" s="19">
        <v>7403224037167368</v>
      </c>
    </row>
    <row r="793" spans="8:10" ht="15" customHeight="1">
      <c r="H793" s="23">
        <v>0.35625000000000007</v>
      </c>
      <c r="I793" s="23">
        <v>4.5000000000000005E-2</v>
      </c>
      <c r="J793" s="19">
        <v>7400784534415200</v>
      </c>
    </row>
    <row r="794" spans="8:10" ht="15" customHeight="1">
      <c r="H794" s="23">
        <v>0.35625000000000007</v>
      </c>
      <c r="I794" s="23">
        <v>4.8750000000000009E-2</v>
      </c>
      <c r="J794" s="19">
        <v>7398375243815824</v>
      </c>
    </row>
    <row r="795" spans="8:10" ht="15" customHeight="1">
      <c r="H795" s="23">
        <v>0.35625000000000007</v>
      </c>
      <c r="I795" s="23">
        <v>5.2500000000000005E-2</v>
      </c>
      <c r="J795" s="19">
        <v>7395987855029656</v>
      </c>
    </row>
    <row r="796" spans="8:10" ht="15" customHeight="1">
      <c r="H796" s="23">
        <v>0.35625000000000007</v>
      </c>
      <c r="I796" s="23">
        <v>5.6250000000000008E-2</v>
      </c>
      <c r="J796" s="19">
        <v>7393629602787312</v>
      </c>
    </row>
    <row r="797" spans="8:10" ht="15" customHeight="1">
      <c r="H797" s="23">
        <v>0.35625000000000007</v>
      </c>
      <c r="I797" s="23">
        <v>6.0000000000000012E-2</v>
      </c>
      <c r="J797" s="19">
        <v>7391294143971144</v>
      </c>
    </row>
    <row r="798" spans="8:10" ht="15" customHeight="1">
      <c r="H798" s="23">
        <v>0.35625000000000007</v>
      </c>
      <c r="I798" s="23">
        <v>6.3750000000000015E-2</v>
      </c>
      <c r="J798" s="19">
        <v>7388987131780464</v>
      </c>
    </row>
    <row r="799" spans="8:10" ht="15" customHeight="1">
      <c r="H799" s="23">
        <v>0.35625000000000007</v>
      </c>
      <c r="I799" s="23">
        <v>6.7500000000000004E-2</v>
      </c>
      <c r="J799" s="19">
        <v>7386703509982792</v>
      </c>
    </row>
    <row r="800" spans="8:10" ht="15" customHeight="1">
      <c r="H800" s="23">
        <v>0.35625000000000007</v>
      </c>
      <c r="I800" s="23">
        <v>7.1250000000000008E-2</v>
      </c>
      <c r="J800" s="19">
        <v>7384447868427168</v>
      </c>
    </row>
    <row r="801" spans="8:10" ht="15" customHeight="1">
      <c r="H801" s="23">
        <v>0.35625000000000007</v>
      </c>
      <c r="I801" s="23">
        <v>7.5000000000000011E-2</v>
      </c>
      <c r="J801" s="19">
        <v>7382216035324992</v>
      </c>
    </row>
    <row r="802" spans="8:10" ht="15" customHeight="1">
      <c r="H802" s="23">
        <v>0.35625000000000007</v>
      </c>
      <c r="I802" s="23">
        <v>7.8750000000000014E-2</v>
      </c>
      <c r="J802" s="19">
        <v>7380011854204728</v>
      </c>
    </row>
    <row r="803" spans="8:10" ht="15" customHeight="1">
      <c r="H803" s="23">
        <v>0.35625000000000007</v>
      </c>
      <c r="I803" s="23">
        <v>8.2500000000000018E-2</v>
      </c>
      <c r="J803" s="19">
        <v>7377831783812216</v>
      </c>
    </row>
    <row r="804" spans="8:10" ht="15" customHeight="1">
      <c r="H804" s="23">
        <v>0.35625000000000007</v>
      </c>
      <c r="I804" s="23">
        <v>8.6250000000000007E-2</v>
      </c>
      <c r="J804" s="19">
        <v>7375679126726800</v>
      </c>
    </row>
    <row r="805" spans="8:10" ht="15" customHeight="1">
      <c r="H805" s="23">
        <v>0.35625000000000007</v>
      </c>
      <c r="I805" s="23">
        <v>9.0000000000000011E-2</v>
      </c>
      <c r="J805" s="19">
        <v>7373550803525984</v>
      </c>
    </row>
    <row r="806" spans="8:10" ht="15" customHeight="1">
      <c r="H806" s="23">
        <v>0.35625000000000007</v>
      </c>
      <c r="I806" s="23">
        <v>9.3750000000000014E-2</v>
      </c>
      <c r="J806" s="19">
        <v>7371449715232288</v>
      </c>
    </row>
    <row r="807" spans="8:10" ht="15" customHeight="1">
      <c r="H807" s="23">
        <v>0.35625000000000007</v>
      </c>
      <c r="I807" s="23">
        <v>9.7500000000000017E-2</v>
      </c>
      <c r="J807" s="19">
        <v>7369373127176136</v>
      </c>
    </row>
    <row r="808" spans="8:10" ht="15" customHeight="1">
      <c r="H808" s="23">
        <v>0.35625000000000007</v>
      </c>
      <c r="I808" s="23">
        <v>0.10125000000000002</v>
      </c>
      <c r="J808" s="19">
        <v>7367323637238992</v>
      </c>
    </row>
    <row r="809" spans="8:10" ht="15" customHeight="1">
      <c r="H809" s="23">
        <v>0.35625000000000007</v>
      </c>
      <c r="I809" s="23">
        <v>0.10500000000000001</v>
      </c>
      <c r="J809" s="19">
        <v>7365298771019336</v>
      </c>
    </row>
    <row r="810" spans="8:10" ht="15" customHeight="1">
      <c r="H810" s="23">
        <v>0.35625000000000007</v>
      </c>
      <c r="I810" s="23">
        <v>0.10875000000000001</v>
      </c>
      <c r="J810" s="19">
        <v>7363300895125672</v>
      </c>
    </row>
    <row r="811" spans="8:10" ht="15" customHeight="1">
      <c r="H811" s="23">
        <v>0.35625000000000007</v>
      </c>
      <c r="I811" s="23">
        <v>0.11250000000000002</v>
      </c>
      <c r="J811" s="19">
        <v>7361327732065040</v>
      </c>
    </row>
    <row r="812" spans="8:10" ht="15" customHeight="1">
      <c r="H812" s="23">
        <v>0.35625000000000007</v>
      </c>
      <c r="I812" s="23">
        <v>0.11625000000000002</v>
      </c>
      <c r="J812" s="19">
        <v>7359381471093952</v>
      </c>
    </row>
    <row r="813" spans="8:10" ht="15" customHeight="1">
      <c r="H813" s="23">
        <v>0.35625000000000007</v>
      </c>
      <c r="I813" s="23">
        <v>0.12000000000000002</v>
      </c>
      <c r="J813" s="19">
        <v>7357459981970352</v>
      </c>
    </row>
    <row r="814" spans="8:10" ht="15" customHeight="1">
      <c r="H814" s="23">
        <v>0.35625000000000007</v>
      </c>
      <c r="I814" s="23">
        <v>0.12375000000000001</v>
      </c>
      <c r="J814" s="19">
        <v>7355565317754528</v>
      </c>
    </row>
    <row r="815" spans="8:10" ht="15" customHeight="1">
      <c r="H815" s="23">
        <v>0.35625000000000007</v>
      </c>
      <c r="I815" s="23">
        <v>0.12750000000000003</v>
      </c>
      <c r="J815" s="19">
        <v>7353695454481016</v>
      </c>
    </row>
    <row r="816" spans="8:10" ht="15" customHeight="1">
      <c r="H816" s="23">
        <v>0.35625000000000007</v>
      </c>
      <c r="I816" s="23">
        <v>0.13125000000000003</v>
      </c>
      <c r="J816" s="19">
        <v>7351852341186672</v>
      </c>
    </row>
    <row r="817" spans="8:10" ht="15" customHeight="1">
      <c r="H817" s="23">
        <v>0.35625000000000007</v>
      </c>
      <c r="I817" s="23">
        <v>0.13500000000000001</v>
      </c>
      <c r="J817" s="19">
        <v>7350034026413216</v>
      </c>
    </row>
    <row r="818" spans="8:10" ht="15" customHeight="1">
      <c r="H818" s="23">
        <v>0.35625000000000007</v>
      </c>
      <c r="I818" s="23">
        <v>0.13875000000000001</v>
      </c>
      <c r="J818" s="19">
        <v>7348242387001584</v>
      </c>
    </row>
    <row r="819" spans="8:10" ht="15" customHeight="1">
      <c r="H819" s="23">
        <v>0.35625000000000007</v>
      </c>
      <c r="I819" s="23">
        <v>0.14250000000000002</v>
      </c>
      <c r="J819" s="19">
        <v>7346475532075176</v>
      </c>
    </row>
    <row r="820" spans="8:10" ht="15" customHeight="1">
      <c r="H820" s="23">
        <v>0.35625000000000007</v>
      </c>
      <c r="I820" s="23">
        <v>0.14625000000000002</v>
      </c>
      <c r="J820" s="19">
        <v>7344735341676544</v>
      </c>
    </row>
    <row r="821" spans="8:10" ht="15" customHeight="1">
      <c r="H821" s="23">
        <v>0.35625000000000007</v>
      </c>
      <c r="I821" s="23">
        <v>0.15000000000000002</v>
      </c>
      <c r="J821" s="19">
        <v>7343020091881144</v>
      </c>
    </row>
    <row r="822" spans="8:10" ht="15" customHeight="1">
      <c r="H822" s="23">
        <v>0.37500000000000006</v>
      </c>
      <c r="I822" s="23">
        <v>0</v>
      </c>
      <c r="J822" s="19">
        <v>7428440848563208</v>
      </c>
    </row>
    <row r="823" spans="8:10" ht="15" customHeight="1">
      <c r="H823" s="23">
        <v>0.37500000000000006</v>
      </c>
      <c r="I823" s="23">
        <v>3.7500000000000007E-3</v>
      </c>
      <c r="J823" s="19">
        <v>7428934603012408</v>
      </c>
    </row>
    <row r="824" spans="8:10" ht="15" customHeight="1">
      <c r="H824" s="23">
        <v>0.37500000000000006</v>
      </c>
      <c r="I824" s="23">
        <v>7.5000000000000015E-3</v>
      </c>
      <c r="J824" s="19">
        <v>7426868443044688</v>
      </c>
    </row>
    <row r="825" spans="8:10" ht="15" customHeight="1">
      <c r="H825" s="23">
        <v>0.37500000000000006</v>
      </c>
      <c r="I825" s="23">
        <v>1.1250000000000001E-2</v>
      </c>
      <c r="J825" s="19">
        <v>7424449161346704</v>
      </c>
    </row>
    <row r="826" spans="8:10" ht="15" customHeight="1">
      <c r="H826" s="23">
        <v>0.37500000000000006</v>
      </c>
      <c r="I826" s="23">
        <v>1.5000000000000003E-2</v>
      </c>
      <c r="J826" s="19">
        <v>7421835712650968</v>
      </c>
    </row>
    <row r="827" spans="8:10" ht="15" customHeight="1">
      <c r="H827" s="23">
        <v>0.37500000000000006</v>
      </c>
      <c r="I827" s="23">
        <v>1.8750000000000003E-2</v>
      </c>
      <c r="J827" s="19">
        <v>7419238272474456</v>
      </c>
    </row>
    <row r="828" spans="8:10" ht="15" customHeight="1">
      <c r="H828" s="23">
        <v>0.37500000000000006</v>
      </c>
      <c r="I828" s="23">
        <v>2.2500000000000003E-2</v>
      </c>
      <c r="J828" s="19">
        <v>7416638454781040</v>
      </c>
    </row>
    <row r="829" spans="8:10" ht="15" customHeight="1">
      <c r="H829" s="23">
        <v>0.37500000000000006</v>
      </c>
      <c r="I829" s="23">
        <v>2.6250000000000002E-2</v>
      </c>
      <c r="J829" s="19">
        <v>7414081541955224</v>
      </c>
    </row>
    <row r="830" spans="8:10" ht="15" customHeight="1">
      <c r="H830" s="23">
        <v>0.37500000000000006</v>
      </c>
      <c r="I830" s="23">
        <v>3.0000000000000006E-2</v>
      </c>
      <c r="J830" s="19">
        <v>7411537773073648</v>
      </c>
    </row>
    <row r="831" spans="8:10" ht="15" customHeight="1">
      <c r="H831" s="23">
        <v>0.37500000000000006</v>
      </c>
      <c r="I831" s="23">
        <v>3.3750000000000002E-2</v>
      </c>
      <c r="J831" s="19">
        <v>7409029380816640</v>
      </c>
    </row>
    <row r="832" spans="8:10" ht="15" customHeight="1">
      <c r="H832" s="23">
        <v>0.37500000000000006</v>
      </c>
      <c r="I832" s="23">
        <v>3.7500000000000006E-2</v>
      </c>
      <c r="J832" s="19">
        <v>7406539019128864</v>
      </c>
    </row>
    <row r="833" spans="8:10" ht="15" customHeight="1">
      <c r="H833" s="23">
        <v>0.37500000000000006</v>
      </c>
      <c r="I833" s="23">
        <v>4.1250000000000009E-2</v>
      </c>
      <c r="J833" s="19">
        <v>7404080672681560</v>
      </c>
    </row>
    <row r="834" spans="8:10" ht="15" customHeight="1">
      <c r="H834" s="23">
        <v>0.37500000000000006</v>
      </c>
      <c r="I834" s="23">
        <v>4.5000000000000005E-2</v>
      </c>
      <c r="J834" s="19">
        <v>7401642807873392</v>
      </c>
    </row>
    <row r="835" spans="8:10" ht="15" customHeight="1">
      <c r="H835" s="23">
        <v>0.37500000000000006</v>
      </c>
      <c r="I835" s="23">
        <v>4.8750000000000009E-2</v>
      </c>
      <c r="J835" s="19">
        <v>7399235147587200</v>
      </c>
    </row>
    <row r="836" spans="8:10" ht="15" customHeight="1">
      <c r="H836" s="23">
        <v>0.37500000000000006</v>
      </c>
      <c r="I836" s="23">
        <v>5.2500000000000005E-2</v>
      </c>
      <c r="J836" s="19">
        <v>7396849377096480</v>
      </c>
    </row>
    <row r="837" spans="8:10" ht="15" customHeight="1">
      <c r="H837" s="23">
        <v>0.37500000000000006</v>
      </c>
      <c r="I837" s="23">
        <v>5.6250000000000008E-2</v>
      </c>
      <c r="J837" s="19">
        <v>7394492726688808</v>
      </c>
    </row>
    <row r="838" spans="8:10" ht="15" customHeight="1">
      <c r="H838" s="23">
        <v>0.37500000000000006</v>
      </c>
      <c r="I838" s="23">
        <v>6.0000000000000012E-2</v>
      </c>
      <c r="J838" s="19">
        <v>7392158848995504</v>
      </c>
    </row>
    <row r="839" spans="8:10" ht="15" customHeight="1">
      <c r="H839" s="23">
        <v>0.37500000000000006</v>
      </c>
      <c r="I839" s="23">
        <v>6.3750000000000015E-2</v>
      </c>
      <c r="J839" s="19">
        <v>7389853392958800</v>
      </c>
    </row>
    <row r="840" spans="8:10" ht="15" customHeight="1">
      <c r="H840" s="23">
        <v>0.37500000000000006</v>
      </c>
      <c r="I840" s="23">
        <v>6.7500000000000004E-2</v>
      </c>
      <c r="J840" s="19">
        <v>7387571298279432</v>
      </c>
    </row>
    <row r="841" spans="8:10" ht="15" customHeight="1">
      <c r="H841" s="23">
        <v>0.37500000000000006</v>
      </c>
      <c r="I841" s="23">
        <v>7.1250000000000008E-2</v>
      </c>
      <c r="J841" s="19">
        <v>7385317150777032</v>
      </c>
    </row>
    <row r="842" spans="8:10" ht="15" customHeight="1">
      <c r="H842" s="23">
        <v>0.37500000000000006</v>
      </c>
      <c r="I842" s="23">
        <v>7.5000000000000011E-2</v>
      </c>
      <c r="J842" s="19">
        <v>7383086774832792</v>
      </c>
    </row>
    <row r="843" spans="8:10" ht="15" customHeight="1">
      <c r="H843" s="23">
        <v>0.37500000000000006</v>
      </c>
      <c r="I843" s="23">
        <v>7.8750000000000014E-2</v>
      </c>
      <c r="J843" s="19">
        <v>7380884010223240</v>
      </c>
    </row>
    <row r="844" spans="8:10" ht="15" customHeight="1">
      <c r="H844" s="23">
        <v>0.37500000000000006</v>
      </c>
      <c r="I844" s="23">
        <v>8.2500000000000018E-2</v>
      </c>
      <c r="J844" s="19">
        <v>7378705312162712</v>
      </c>
    </row>
    <row r="845" spans="8:10" ht="15" customHeight="1">
      <c r="H845" s="23">
        <v>0.37500000000000006</v>
      </c>
      <c r="I845" s="23">
        <v>8.6250000000000007E-2</v>
      </c>
      <c r="J845" s="19">
        <v>7376553979824672</v>
      </c>
    </row>
    <row r="846" spans="8:10" ht="15" customHeight="1">
      <c r="H846" s="23">
        <v>0.37500000000000006</v>
      </c>
      <c r="I846" s="23">
        <v>9.0000000000000011E-2</v>
      </c>
      <c r="J846" s="19">
        <v>7374426930642608</v>
      </c>
    </row>
    <row r="847" spans="8:10" ht="15" customHeight="1">
      <c r="H847" s="23">
        <v>0.37500000000000006</v>
      </c>
      <c r="I847" s="23">
        <v>9.3750000000000014E-2</v>
      </c>
      <c r="J847" s="19">
        <v>7372327062695096</v>
      </c>
    </row>
    <row r="848" spans="8:10" ht="15" customHeight="1">
      <c r="H848" s="23">
        <v>0.37500000000000006</v>
      </c>
      <c r="I848" s="23">
        <v>9.7500000000000017E-2</v>
      </c>
      <c r="J848" s="19">
        <v>7370251638722152</v>
      </c>
    </row>
    <row r="849" spans="8:10" ht="15" customHeight="1">
      <c r="H849" s="23">
        <v>0.37500000000000006</v>
      </c>
      <c r="I849" s="23">
        <v>0.10125000000000002</v>
      </c>
      <c r="J849" s="19">
        <v>7368203254369752</v>
      </c>
    </row>
    <row r="850" spans="8:10" ht="15" customHeight="1">
      <c r="H850" s="23">
        <v>0.37500000000000006</v>
      </c>
      <c r="I850" s="23">
        <v>0.10500000000000001</v>
      </c>
      <c r="J850" s="19">
        <v>7366179433582232</v>
      </c>
    </row>
    <row r="851" spans="8:10" ht="15" customHeight="1">
      <c r="H851" s="23">
        <v>0.37500000000000006</v>
      </c>
      <c r="I851" s="23">
        <v>0.10875000000000001</v>
      </c>
      <c r="J851" s="19">
        <v>7364182542039696</v>
      </c>
    </row>
    <row r="852" spans="8:10" ht="15" customHeight="1">
      <c r="H852" s="23">
        <v>0.37500000000000006</v>
      </c>
      <c r="I852" s="23">
        <v>0.11250000000000002</v>
      </c>
      <c r="J852" s="19">
        <v>7362210302477344</v>
      </c>
    </row>
    <row r="853" spans="8:10" ht="15" customHeight="1">
      <c r="H853" s="23">
        <v>0.37500000000000006</v>
      </c>
      <c r="I853" s="23">
        <v>0.11625000000000002</v>
      </c>
      <c r="J853" s="19">
        <v>7360264906004152</v>
      </c>
    </row>
    <row r="854" spans="8:10" ht="15" customHeight="1">
      <c r="H854" s="23">
        <v>0.37500000000000006</v>
      </c>
      <c r="I854" s="23">
        <v>0.12000000000000002</v>
      </c>
      <c r="J854" s="19">
        <v>7358344226728752</v>
      </c>
    </row>
    <row r="855" spans="8:10" ht="15" customHeight="1">
      <c r="H855" s="23">
        <v>0.37500000000000006</v>
      </c>
      <c r="I855" s="23">
        <v>0.12375000000000001</v>
      </c>
      <c r="J855" s="19">
        <v>7356450325602088</v>
      </c>
    </row>
    <row r="856" spans="8:10" ht="15" customHeight="1">
      <c r="H856" s="23">
        <v>0.37500000000000006</v>
      </c>
      <c r="I856" s="23">
        <v>0.12750000000000003</v>
      </c>
      <c r="J856" s="19">
        <v>7354581191508264</v>
      </c>
    </row>
    <row r="857" spans="8:10" ht="15" customHeight="1">
      <c r="H857" s="23">
        <v>0.37500000000000006</v>
      </c>
      <c r="I857" s="23">
        <v>0.13125000000000003</v>
      </c>
      <c r="J857" s="19">
        <v>7352738792405400</v>
      </c>
    </row>
    <row r="858" spans="8:10" ht="15" customHeight="1">
      <c r="H858" s="23">
        <v>0.37500000000000006</v>
      </c>
      <c r="I858" s="23">
        <v>0.13500000000000001</v>
      </c>
      <c r="J858" s="19">
        <v>7350921201559136</v>
      </c>
    </row>
    <row r="859" spans="8:10" ht="15" customHeight="1">
      <c r="H859" s="23">
        <v>0.37500000000000006</v>
      </c>
      <c r="I859" s="23">
        <v>0.13875000000000001</v>
      </c>
      <c r="J859" s="19">
        <v>7349130320903680</v>
      </c>
    </row>
    <row r="860" spans="8:10" ht="15" customHeight="1">
      <c r="H860" s="23">
        <v>0.37500000000000006</v>
      </c>
      <c r="I860" s="23">
        <v>0.14250000000000002</v>
      </c>
      <c r="J860" s="19">
        <v>7347364266132824</v>
      </c>
    </row>
    <row r="861" spans="8:10" ht="15" customHeight="1">
      <c r="H861" s="23">
        <v>0.37500000000000006</v>
      </c>
      <c r="I861" s="23">
        <v>0.14625000000000002</v>
      </c>
      <c r="J861" s="19">
        <v>7345624853109248</v>
      </c>
    </row>
    <row r="862" spans="8:10" ht="15" customHeight="1">
      <c r="H862" s="23">
        <v>0.37500000000000006</v>
      </c>
      <c r="I862" s="23">
        <v>0.15000000000000002</v>
      </c>
      <c r="J862" s="19">
        <v>7343910094131528</v>
      </c>
    </row>
    <row r="863" spans="8:10" ht="15" customHeight="1">
      <c r="H863" s="23">
        <v>0.39375000000000004</v>
      </c>
      <c r="I863" s="23">
        <v>0</v>
      </c>
      <c r="J863" s="19">
        <v>7429244755178184</v>
      </c>
    </row>
    <row r="864" spans="8:10" ht="15" customHeight="1">
      <c r="H864" s="23">
        <v>0.39375000000000004</v>
      </c>
      <c r="I864" s="23">
        <v>3.7500000000000007E-3</v>
      </c>
      <c r="J864" s="19">
        <v>7429739390655576</v>
      </c>
    </row>
    <row r="865" spans="8:10" ht="15" customHeight="1">
      <c r="H865" s="23">
        <v>0.39375000000000004</v>
      </c>
      <c r="I865" s="23">
        <v>7.5000000000000015E-3</v>
      </c>
      <c r="J865" s="19">
        <v>7427674180771176</v>
      </c>
    </row>
    <row r="866" spans="8:10" ht="15" customHeight="1">
      <c r="H866" s="23">
        <v>0.39375000000000004</v>
      </c>
      <c r="I866" s="23">
        <v>1.1250000000000001E-2</v>
      </c>
      <c r="J866" s="19">
        <v>7425255896483976</v>
      </c>
    </row>
    <row r="867" spans="8:10" ht="15" customHeight="1">
      <c r="H867" s="23">
        <v>0.39375000000000004</v>
      </c>
      <c r="I867" s="23">
        <v>1.5000000000000003E-2</v>
      </c>
      <c r="J867" s="19">
        <v>7422643486858152</v>
      </c>
    </row>
    <row r="868" spans="8:10" ht="15" customHeight="1">
      <c r="H868" s="23">
        <v>0.39375000000000004</v>
      </c>
      <c r="I868" s="23">
        <v>1.8750000000000003E-2</v>
      </c>
      <c r="J868" s="19">
        <v>7420047121368800</v>
      </c>
    </row>
    <row r="869" spans="8:10" ht="15" customHeight="1">
      <c r="H869" s="23">
        <v>0.39375000000000004</v>
      </c>
      <c r="I869" s="23">
        <v>2.2500000000000003E-2</v>
      </c>
      <c r="J869" s="19">
        <v>7417448409778888</v>
      </c>
    </row>
    <row r="870" spans="8:10" ht="15" customHeight="1">
      <c r="H870" s="23">
        <v>0.39375000000000004</v>
      </c>
      <c r="I870" s="23">
        <v>2.6250000000000002E-2</v>
      </c>
      <c r="J870" s="19">
        <v>7414892629829968</v>
      </c>
    </row>
    <row r="871" spans="8:10" ht="15" customHeight="1">
      <c r="H871" s="23">
        <v>0.39375000000000004</v>
      </c>
      <c r="I871" s="23">
        <v>3.0000000000000006E-2</v>
      </c>
      <c r="J871" s="19">
        <v>7412350016608176</v>
      </c>
    </row>
    <row r="872" spans="8:10" ht="15" customHeight="1">
      <c r="H872" s="23">
        <v>0.39375000000000004</v>
      </c>
      <c r="I872" s="23">
        <v>3.3750000000000002E-2</v>
      </c>
      <c r="J872" s="19">
        <v>7409842798463136</v>
      </c>
    </row>
    <row r="873" spans="8:10" ht="15" customHeight="1">
      <c r="H873" s="23">
        <v>0.39375000000000004</v>
      </c>
      <c r="I873" s="23">
        <v>3.7500000000000006E-2</v>
      </c>
      <c r="J873" s="19">
        <v>7407353625392520</v>
      </c>
    </row>
    <row r="874" spans="8:10" ht="15" customHeight="1">
      <c r="H874" s="23">
        <v>0.39375000000000004</v>
      </c>
      <c r="I874" s="23">
        <v>4.1250000000000009E-2</v>
      </c>
      <c r="J874" s="19">
        <v>7404896477951080</v>
      </c>
    </row>
    <row r="875" spans="8:10" ht="15" customHeight="1">
      <c r="H875" s="23">
        <v>0.39375000000000004</v>
      </c>
      <c r="I875" s="23">
        <v>4.5000000000000005E-2</v>
      </c>
      <c r="J875" s="19">
        <v>7402459818703160</v>
      </c>
    </row>
    <row r="876" spans="8:10" ht="15" customHeight="1">
      <c r="H876" s="23">
        <v>0.39375000000000004</v>
      </c>
      <c r="I876" s="23">
        <v>4.8750000000000009E-2</v>
      </c>
      <c r="J876" s="19">
        <v>7400053366617864</v>
      </c>
    </row>
    <row r="877" spans="8:10" ht="15" customHeight="1">
      <c r="H877" s="23">
        <v>0.39375000000000004</v>
      </c>
      <c r="I877" s="23">
        <v>5.2500000000000005E-2</v>
      </c>
      <c r="J877" s="19">
        <v>7397668803288784</v>
      </c>
    </row>
    <row r="878" spans="8:10" ht="15" customHeight="1">
      <c r="H878" s="23">
        <v>0.39375000000000004</v>
      </c>
      <c r="I878" s="23">
        <v>5.6250000000000008E-2</v>
      </c>
      <c r="J878" s="19">
        <v>7395313355300552</v>
      </c>
    </row>
    <row r="879" spans="8:10" ht="15" customHeight="1">
      <c r="H879" s="23">
        <v>0.39375000000000004</v>
      </c>
      <c r="I879" s="23">
        <v>6.0000000000000012E-2</v>
      </c>
      <c r="J879" s="19">
        <v>7392980671792952</v>
      </c>
    </row>
    <row r="880" spans="8:10" ht="15" customHeight="1">
      <c r="H880" s="23">
        <v>0.39375000000000004</v>
      </c>
      <c r="I880" s="23">
        <v>6.3750000000000015E-2</v>
      </c>
      <c r="J880" s="19">
        <v>7390676398234360</v>
      </c>
    </row>
    <row r="881" spans="8:10" ht="15" customHeight="1">
      <c r="H881" s="23">
        <v>0.39375000000000004</v>
      </c>
      <c r="I881" s="23">
        <v>6.7500000000000004E-2</v>
      </c>
      <c r="J881" s="19">
        <v>7388395471054696</v>
      </c>
    </row>
    <row r="882" spans="8:10" ht="15" customHeight="1">
      <c r="H882" s="23">
        <v>0.39375000000000004</v>
      </c>
      <c r="I882" s="23">
        <v>7.1250000000000008E-2</v>
      </c>
      <c r="J882" s="19">
        <v>7386142472851632</v>
      </c>
    </row>
    <row r="883" spans="8:10" ht="15" customHeight="1">
      <c r="H883" s="23">
        <v>0.39375000000000004</v>
      </c>
      <c r="I883" s="23">
        <v>7.5000000000000011E-2</v>
      </c>
      <c r="J883" s="19">
        <v>7383913224985728</v>
      </c>
    </row>
    <row r="884" spans="8:10" ht="15" customHeight="1">
      <c r="H884" s="23">
        <v>0.39375000000000004</v>
      </c>
      <c r="I884" s="23">
        <v>7.8750000000000014E-2</v>
      </c>
      <c r="J884" s="19">
        <v>7381711564287144</v>
      </c>
    </row>
    <row r="885" spans="8:10" ht="15" customHeight="1">
      <c r="H885" s="23">
        <v>0.39375000000000004</v>
      </c>
      <c r="I885" s="23">
        <v>8.2500000000000018E-2</v>
      </c>
      <c r="J885" s="19">
        <v>7379533943222832</v>
      </c>
    </row>
    <row r="886" spans="8:10" ht="15" customHeight="1">
      <c r="H886" s="23">
        <v>0.39375000000000004</v>
      </c>
      <c r="I886" s="23">
        <v>8.6250000000000007E-2</v>
      </c>
      <c r="J886" s="19">
        <v>7377383658306808</v>
      </c>
    </row>
    <row r="887" spans="8:10" ht="15" customHeight="1">
      <c r="H887" s="23">
        <v>0.39375000000000004</v>
      </c>
      <c r="I887" s="23">
        <v>9.0000000000000011E-2</v>
      </c>
      <c r="J887" s="19">
        <v>7375257624499168</v>
      </c>
    </row>
    <row r="888" spans="8:10" ht="15" customHeight="1">
      <c r="H888" s="23">
        <v>0.39375000000000004</v>
      </c>
      <c r="I888" s="23">
        <v>9.3750000000000014E-2</v>
      </c>
      <c r="J888" s="19">
        <v>7373158737478240</v>
      </c>
    </row>
    <row r="889" spans="8:10" ht="15" customHeight="1">
      <c r="H889" s="23">
        <v>0.39375000000000004</v>
      </c>
      <c r="I889" s="23">
        <v>9.7500000000000017E-2</v>
      </c>
      <c r="J889" s="19">
        <v>7371084257714760</v>
      </c>
    </row>
    <row r="890" spans="8:10" ht="15" customHeight="1">
      <c r="H890" s="23">
        <v>0.39375000000000004</v>
      </c>
      <c r="I890" s="23">
        <v>0.10125000000000002</v>
      </c>
      <c r="J890" s="19">
        <v>7369036778567728</v>
      </c>
    </row>
    <row r="891" spans="8:10" ht="15" customHeight="1">
      <c r="H891" s="23">
        <v>0.39375000000000004</v>
      </c>
      <c r="I891" s="23">
        <v>0.10500000000000001</v>
      </c>
      <c r="J891" s="19">
        <v>7367013821647528</v>
      </c>
    </row>
    <row r="892" spans="8:10" ht="15" customHeight="1">
      <c r="H892" s="23">
        <v>0.39375000000000004</v>
      </c>
      <c r="I892" s="23">
        <v>0.10875000000000001</v>
      </c>
      <c r="J892" s="19">
        <v>7365017749989632</v>
      </c>
    </row>
    <row r="893" spans="8:10" ht="15" customHeight="1">
      <c r="H893" s="23">
        <v>0.39375000000000004</v>
      </c>
      <c r="I893" s="23">
        <v>0.11250000000000002</v>
      </c>
      <c r="J893" s="19">
        <v>7363046283141472</v>
      </c>
    </row>
    <row r="894" spans="8:10" ht="15" customHeight="1">
      <c r="H894" s="23">
        <v>0.39375000000000004</v>
      </c>
      <c r="I894" s="23">
        <v>0.11625000000000002</v>
      </c>
      <c r="J894" s="19">
        <v>7361101607929704</v>
      </c>
    </row>
    <row r="895" spans="8:10" ht="15" customHeight="1">
      <c r="H895" s="23">
        <v>0.39375000000000004</v>
      </c>
      <c r="I895" s="23">
        <v>0.12000000000000002</v>
      </c>
      <c r="J895" s="19">
        <v>7359181592433920</v>
      </c>
    </row>
    <row r="896" spans="8:10" ht="15" customHeight="1">
      <c r="H896" s="23">
        <v>0.39375000000000004</v>
      </c>
      <c r="I896" s="23">
        <v>0.12375000000000001</v>
      </c>
      <c r="J896" s="19">
        <v>7357288288755328</v>
      </c>
    </row>
    <row r="897" spans="8:10" ht="15" customHeight="1">
      <c r="H897" s="23">
        <v>0.39375000000000004</v>
      </c>
      <c r="I897" s="23">
        <v>0.12750000000000003</v>
      </c>
      <c r="J897" s="19">
        <v>7355419672942784</v>
      </c>
    </row>
    <row r="898" spans="8:10" ht="15" customHeight="1">
      <c r="H898" s="23">
        <v>0.39375000000000004</v>
      </c>
      <c r="I898" s="23">
        <v>0.13125000000000003</v>
      </c>
      <c r="J898" s="19">
        <v>7353577695001560</v>
      </c>
    </row>
    <row r="899" spans="8:10" ht="15" customHeight="1">
      <c r="H899" s="23">
        <v>0.39375000000000004</v>
      </c>
      <c r="I899" s="23">
        <v>0.13500000000000001</v>
      </c>
      <c r="J899" s="19">
        <v>7351760405517176</v>
      </c>
    </row>
    <row r="900" spans="8:10" ht="15" customHeight="1">
      <c r="H900" s="23">
        <v>0.39375000000000004</v>
      </c>
      <c r="I900" s="23">
        <v>0.13875000000000001</v>
      </c>
      <c r="J900" s="19">
        <v>7349969683944144</v>
      </c>
    </row>
    <row r="901" spans="8:10" ht="15" customHeight="1">
      <c r="H901" s="23">
        <v>0.39375000000000004</v>
      </c>
      <c r="I901" s="23">
        <v>0.14250000000000002</v>
      </c>
      <c r="J901" s="19">
        <v>7348203641313432</v>
      </c>
    </row>
    <row r="902" spans="8:10" ht="15" customHeight="1">
      <c r="H902" s="23">
        <v>0.39375000000000004</v>
      </c>
      <c r="I902" s="23">
        <v>0.14625000000000002</v>
      </c>
      <c r="J902" s="19">
        <v>7346464154865816</v>
      </c>
    </row>
    <row r="903" spans="8:10" ht="15" customHeight="1">
      <c r="H903" s="23">
        <v>0.39375000000000004</v>
      </c>
      <c r="I903" s="23">
        <v>0.15000000000000002</v>
      </c>
      <c r="J903" s="19">
        <v>7344749483669944</v>
      </c>
    </row>
    <row r="904" spans="8:10" ht="15" customHeight="1">
      <c r="H904" s="23">
        <v>0.41250000000000009</v>
      </c>
      <c r="I904" s="23">
        <v>0</v>
      </c>
      <c r="J904" s="19">
        <v>7430011872537200</v>
      </c>
    </row>
    <row r="905" spans="8:10" ht="15" customHeight="1">
      <c r="H905" s="23">
        <v>0.41250000000000009</v>
      </c>
      <c r="I905" s="23">
        <v>3.7500000000000007E-3</v>
      </c>
      <c r="J905" s="19">
        <v>7430506994381720</v>
      </c>
    </row>
    <row r="906" spans="8:10" ht="15" customHeight="1">
      <c r="H906" s="23">
        <v>0.41250000000000009</v>
      </c>
      <c r="I906" s="23">
        <v>7.5000000000000015E-3</v>
      </c>
      <c r="J906" s="19">
        <v>7428442343364480</v>
      </c>
    </row>
    <row r="907" spans="8:10" ht="15" customHeight="1">
      <c r="H907" s="23">
        <v>0.41250000000000009</v>
      </c>
      <c r="I907" s="23">
        <v>1.1250000000000001E-2</v>
      </c>
      <c r="J907" s="19">
        <v>7426024669367232</v>
      </c>
    </row>
    <row r="908" spans="8:10" ht="15" customHeight="1">
      <c r="H908" s="23">
        <v>0.41250000000000009</v>
      </c>
      <c r="I908" s="23">
        <v>1.5000000000000003E-2</v>
      </c>
      <c r="J908" s="19">
        <v>7423412915944016</v>
      </c>
    </row>
    <row r="909" spans="8:10" ht="15" customHeight="1">
      <c r="H909" s="23">
        <v>0.41250000000000009</v>
      </c>
      <c r="I909" s="23">
        <v>1.8750000000000003E-2</v>
      </c>
      <c r="J909" s="19">
        <v>7420817246809304</v>
      </c>
    </row>
    <row r="910" spans="8:10" ht="15" customHeight="1">
      <c r="H910" s="23">
        <v>0.41250000000000009</v>
      </c>
      <c r="I910" s="23">
        <v>2.2500000000000003E-2</v>
      </c>
      <c r="J910" s="19">
        <v>7418219267805800</v>
      </c>
    </row>
    <row r="911" spans="8:10" ht="15" customHeight="1">
      <c r="H911" s="23">
        <v>0.41250000000000009</v>
      </c>
      <c r="I911" s="23">
        <v>2.6250000000000002E-2</v>
      </c>
      <c r="J911" s="19">
        <v>7415664252388040</v>
      </c>
    </row>
    <row r="912" spans="8:10" ht="15" customHeight="1">
      <c r="H912" s="23">
        <v>0.41250000000000009</v>
      </c>
      <c r="I912" s="23">
        <v>3.0000000000000006E-2</v>
      </c>
      <c r="J912" s="19">
        <v>7413122432028064</v>
      </c>
    </row>
    <row r="913" spans="8:10" ht="15" customHeight="1">
      <c r="H913" s="23">
        <v>0.41250000000000009</v>
      </c>
      <c r="I913" s="23">
        <v>3.3750000000000002E-2</v>
      </c>
      <c r="J913" s="19">
        <v>7410616031176504</v>
      </c>
    </row>
    <row r="914" spans="8:10" ht="15" customHeight="1">
      <c r="H914" s="23">
        <v>0.41250000000000009</v>
      </c>
      <c r="I914" s="23">
        <v>3.7500000000000006E-2</v>
      </c>
      <c r="J914" s="19">
        <v>7408127696335512</v>
      </c>
    </row>
    <row r="915" spans="8:10" ht="15" customHeight="1">
      <c r="H915" s="23">
        <v>0.41250000000000009</v>
      </c>
      <c r="I915" s="23">
        <v>4.1250000000000009E-2</v>
      </c>
      <c r="J915" s="19">
        <v>7405671404434992</v>
      </c>
    </row>
    <row r="916" spans="8:10" ht="15" customHeight="1">
      <c r="H916" s="23">
        <v>0.41250000000000009</v>
      </c>
      <c r="I916" s="23">
        <v>4.5000000000000005E-2</v>
      </c>
      <c r="J916" s="19">
        <v>7403235614714952</v>
      </c>
    </row>
    <row r="917" spans="8:10" ht="15" customHeight="1">
      <c r="H917" s="23">
        <v>0.41250000000000009</v>
      </c>
      <c r="I917" s="23">
        <v>4.8750000000000009E-2</v>
      </c>
      <c r="J917" s="19">
        <v>7400830042769536</v>
      </c>
    </row>
    <row r="918" spans="8:10" ht="15" customHeight="1">
      <c r="H918" s="23">
        <v>0.41250000000000009</v>
      </c>
      <c r="I918" s="23">
        <v>5.2500000000000005E-2</v>
      </c>
      <c r="J918" s="19">
        <v>7398446367066856</v>
      </c>
    </row>
    <row r="919" spans="8:10" ht="15" customHeight="1">
      <c r="H919" s="23">
        <v>0.41250000000000009</v>
      </c>
      <c r="I919" s="23">
        <v>5.6250000000000008E-2</v>
      </c>
      <c r="J919" s="19">
        <v>7396091811065056</v>
      </c>
    </row>
    <row r="920" spans="8:10" ht="15" customHeight="1">
      <c r="H920" s="23">
        <v>0.41250000000000009</v>
      </c>
      <c r="I920" s="23">
        <v>6.0000000000000012E-2</v>
      </c>
      <c r="J920" s="19">
        <v>7393760020999752</v>
      </c>
    </row>
    <row r="921" spans="8:10" ht="15" customHeight="1">
      <c r="H921" s="23">
        <v>0.41250000000000009</v>
      </c>
      <c r="I921" s="23">
        <v>6.3750000000000015E-2</v>
      </c>
      <c r="J921" s="19">
        <v>7391456639469536</v>
      </c>
    </row>
    <row r="922" spans="8:10" ht="15" customHeight="1">
      <c r="H922" s="23">
        <v>0.41250000000000009</v>
      </c>
      <c r="I922" s="23">
        <v>6.7500000000000004E-2</v>
      </c>
      <c r="J922" s="19">
        <v>7389176600244672</v>
      </c>
    </row>
    <row r="923" spans="8:10" ht="15" customHeight="1">
      <c r="H923" s="23">
        <v>0.41250000000000009</v>
      </c>
      <c r="I923" s="23">
        <v>7.1250000000000008E-2</v>
      </c>
      <c r="J923" s="19">
        <v>7386924483326256</v>
      </c>
    </row>
    <row r="924" spans="8:10" ht="15" customHeight="1">
      <c r="H924" s="23">
        <v>0.41250000000000009</v>
      </c>
      <c r="I924" s="23">
        <v>7.5000000000000011E-2</v>
      </c>
      <c r="J924" s="19">
        <v>7384696107686224</v>
      </c>
    </row>
    <row r="925" spans="8:10" ht="15" customHeight="1">
      <c r="H925" s="23">
        <v>0.41250000000000009</v>
      </c>
      <c r="I925" s="23">
        <v>7.8750000000000014E-2</v>
      </c>
      <c r="J925" s="19">
        <v>7382495307856240</v>
      </c>
    </row>
    <row r="926" spans="8:10" ht="15" customHeight="1">
      <c r="H926" s="23">
        <v>0.41250000000000009</v>
      </c>
      <c r="I926" s="23">
        <v>8.2500000000000018E-2</v>
      </c>
      <c r="J926" s="19">
        <v>7380318534221464</v>
      </c>
    </row>
    <row r="927" spans="8:10" ht="15" customHeight="1">
      <c r="H927" s="23">
        <v>0.41250000000000009</v>
      </c>
      <c r="I927" s="23">
        <v>8.6250000000000007E-2</v>
      </c>
      <c r="J927" s="19">
        <v>7378169081337248</v>
      </c>
    </row>
    <row r="928" spans="8:10" ht="15" customHeight="1">
      <c r="H928" s="23">
        <v>0.41250000000000009</v>
      </c>
      <c r="I928" s="23">
        <v>9.0000000000000011E-2</v>
      </c>
      <c r="J928" s="19">
        <v>7376043862448304</v>
      </c>
    </row>
    <row r="929" spans="8:10" ht="15" customHeight="1">
      <c r="H929" s="23">
        <v>0.41250000000000009</v>
      </c>
      <c r="I929" s="23">
        <v>9.3750000000000014E-2</v>
      </c>
      <c r="J929" s="19">
        <v>7373945771697392</v>
      </c>
    </row>
    <row r="930" spans="8:10" ht="15" customHeight="1">
      <c r="H930" s="23">
        <v>0.41250000000000009</v>
      </c>
      <c r="I930" s="23">
        <v>9.7500000000000017E-2</v>
      </c>
      <c r="J930" s="19">
        <v>7371872068334264</v>
      </c>
    </row>
    <row r="931" spans="8:10" ht="15" customHeight="1">
      <c r="H931" s="23">
        <v>0.41250000000000009</v>
      </c>
      <c r="I931" s="23">
        <v>0.10125000000000002</v>
      </c>
      <c r="J931" s="19">
        <v>7369825344802416</v>
      </c>
    </row>
    <row r="932" spans="8:10" ht="15" customHeight="1">
      <c r="H932" s="23">
        <v>0.41250000000000009</v>
      </c>
      <c r="I932" s="23">
        <v>0.10500000000000001</v>
      </c>
      <c r="J932" s="19">
        <v>7367803122300216</v>
      </c>
    </row>
    <row r="933" spans="8:10" ht="15" customHeight="1">
      <c r="H933" s="23">
        <v>0.41250000000000009</v>
      </c>
      <c r="I933" s="23">
        <v>0.10875000000000001</v>
      </c>
      <c r="J933" s="19">
        <v>7365807764069512</v>
      </c>
    </row>
    <row r="934" spans="8:10" ht="15" customHeight="1">
      <c r="H934" s="23">
        <v>0.41250000000000009</v>
      </c>
      <c r="I934" s="23">
        <v>0.11250000000000002</v>
      </c>
      <c r="J934" s="19">
        <v>7363836990855784</v>
      </c>
    </row>
    <row r="935" spans="8:10" ht="15" customHeight="1">
      <c r="H935" s="23">
        <v>0.41250000000000009</v>
      </c>
      <c r="I935" s="23">
        <v>0.11625000000000002</v>
      </c>
      <c r="J935" s="19">
        <v>7361892992070048</v>
      </c>
    </row>
    <row r="936" spans="8:10" ht="15" customHeight="1">
      <c r="H936" s="23">
        <v>0.41250000000000009</v>
      </c>
      <c r="I936" s="23">
        <v>0.12000000000000002</v>
      </c>
      <c r="J936" s="19">
        <v>7359973640516496</v>
      </c>
    </row>
    <row r="937" spans="8:10" ht="15" customHeight="1">
      <c r="H937" s="23">
        <v>0.41250000000000009</v>
      </c>
      <c r="I937" s="23">
        <v>0.12375000000000001</v>
      </c>
      <c r="J937" s="19">
        <v>7358080996050848</v>
      </c>
    </row>
    <row r="938" spans="8:10" ht="15" customHeight="1">
      <c r="H938" s="23">
        <v>0.41250000000000009</v>
      </c>
      <c r="I938" s="23">
        <v>0.12750000000000003</v>
      </c>
      <c r="J938" s="19">
        <v>7356213046729192</v>
      </c>
    </row>
    <row r="939" spans="8:10" ht="15" customHeight="1">
      <c r="H939" s="23">
        <v>0.41250000000000009</v>
      </c>
      <c r="I939" s="23">
        <v>0.13125000000000003</v>
      </c>
      <c r="J939" s="19">
        <v>7354371759767184</v>
      </c>
    </row>
    <row r="940" spans="8:10" ht="15" customHeight="1">
      <c r="H940" s="23">
        <v>0.41250000000000009</v>
      </c>
      <c r="I940" s="23">
        <v>0.13500000000000001</v>
      </c>
      <c r="J940" s="19">
        <v>7352555207933560</v>
      </c>
    </row>
    <row r="941" spans="8:10" ht="15" customHeight="1">
      <c r="H941" s="23">
        <v>0.41250000000000009</v>
      </c>
      <c r="I941" s="23">
        <v>0.13875000000000001</v>
      </c>
      <c r="J941" s="19">
        <v>7350765293154736</v>
      </c>
    </row>
    <row r="942" spans="8:10" ht="15" customHeight="1">
      <c r="H942" s="23">
        <v>0.41250000000000009</v>
      </c>
      <c r="I942" s="23">
        <v>0.14250000000000002</v>
      </c>
      <c r="J942" s="19">
        <v>7349000132957504</v>
      </c>
    </row>
    <row r="943" spans="8:10" ht="15" customHeight="1">
      <c r="H943" s="23">
        <v>0.41250000000000009</v>
      </c>
      <c r="I943" s="23">
        <v>0.14625000000000002</v>
      </c>
      <c r="J943" s="19">
        <v>7347261550129664</v>
      </c>
    </row>
    <row r="944" spans="8:10" ht="15" customHeight="1">
      <c r="H944" s="23">
        <v>0.41250000000000009</v>
      </c>
      <c r="I944" s="23">
        <v>0.15000000000000002</v>
      </c>
      <c r="J944" s="19">
        <v>7345547577390304</v>
      </c>
    </row>
    <row r="945" spans="8:10" ht="15" customHeight="1">
      <c r="H945" s="23">
        <v>0.43125000000000008</v>
      </c>
      <c r="I945" s="23">
        <v>0</v>
      </c>
      <c r="J945" s="19">
        <v>7430740872779592</v>
      </c>
    </row>
    <row r="946" spans="8:10" ht="15" customHeight="1">
      <c r="H946" s="23">
        <v>0.43125000000000008</v>
      </c>
      <c r="I946" s="23">
        <v>3.7500000000000007E-3</v>
      </c>
      <c r="J946" s="19">
        <v>7431236200397464</v>
      </c>
    </row>
    <row r="947" spans="8:10" ht="15" customHeight="1">
      <c r="H947" s="23">
        <v>0.43125000000000008</v>
      </c>
      <c r="I947" s="23">
        <v>7.5000000000000015E-3</v>
      </c>
      <c r="J947" s="19">
        <v>7429171827200784</v>
      </c>
    </row>
    <row r="948" spans="8:10" ht="15" customHeight="1">
      <c r="H948" s="23">
        <v>0.43125000000000008</v>
      </c>
      <c r="I948" s="23">
        <v>1.1250000000000001E-2</v>
      </c>
      <c r="J948" s="19">
        <v>7426754483288168</v>
      </c>
    </row>
    <row r="949" spans="8:10" ht="15" customHeight="1">
      <c r="H949" s="23">
        <v>0.43125000000000008</v>
      </c>
      <c r="I949" s="23">
        <v>1.5000000000000003E-2</v>
      </c>
      <c r="J949" s="19">
        <v>7424143107185392</v>
      </c>
    </row>
    <row r="950" spans="8:10" ht="15" customHeight="1">
      <c r="H950" s="23">
        <v>0.43125000000000008</v>
      </c>
      <c r="I950" s="23">
        <v>1.8750000000000003E-2</v>
      </c>
      <c r="J950" s="19">
        <v>7421547857309448</v>
      </c>
    </row>
    <row r="951" spans="8:10" ht="15" customHeight="1">
      <c r="H951" s="23">
        <v>0.43125000000000008</v>
      </c>
      <c r="I951" s="23">
        <v>2.2500000000000003E-2</v>
      </c>
      <c r="J951" s="19">
        <v>7418950335957584</v>
      </c>
    </row>
    <row r="952" spans="8:10" ht="15" customHeight="1">
      <c r="H952" s="23">
        <v>0.43125000000000008</v>
      </c>
      <c r="I952" s="23">
        <v>2.6250000000000002E-2</v>
      </c>
      <c r="J952" s="19">
        <v>7416395812701656</v>
      </c>
    </row>
    <row r="953" spans="8:10" ht="15" customHeight="1">
      <c r="H953" s="23">
        <v>0.43125000000000008</v>
      </c>
      <c r="I953" s="23">
        <v>3.0000000000000006E-2</v>
      </c>
      <c r="J953" s="19">
        <v>7413854515790248</v>
      </c>
    </row>
    <row r="954" spans="8:10" ht="15" customHeight="1">
      <c r="H954" s="23">
        <v>0.43125000000000008</v>
      </c>
      <c r="I954" s="23">
        <v>3.3750000000000002E-2</v>
      </c>
      <c r="J954" s="19">
        <v>7411348666198152</v>
      </c>
    </row>
    <row r="955" spans="8:10" ht="15" customHeight="1">
      <c r="H955" s="23">
        <v>0.43125000000000008</v>
      </c>
      <c r="I955" s="23">
        <v>3.7500000000000006E-2</v>
      </c>
      <c r="J955" s="19">
        <v>7408860907356336</v>
      </c>
    </row>
    <row r="956" spans="8:10" ht="15" customHeight="1">
      <c r="H956" s="23">
        <v>0.43125000000000008</v>
      </c>
      <c r="I956" s="23">
        <v>4.1250000000000009E-2</v>
      </c>
      <c r="J956" s="19">
        <v>7406405213018688</v>
      </c>
    </row>
    <row r="957" spans="8:10" ht="15" customHeight="1">
      <c r="H957" s="23">
        <v>0.43125000000000008</v>
      </c>
      <c r="I957" s="23">
        <v>4.5000000000000005E-2</v>
      </c>
      <c r="J957" s="19">
        <v>7403970039551440</v>
      </c>
    </row>
    <row r="958" spans="8:10" ht="15" customHeight="1">
      <c r="H958" s="23">
        <v>0.43125000000000008</v>
      </c>
      <c r="I958" s="23">
        <v>4.8750000000000009E-2</v>
      </c>
      <c r="J958" s="19">
        <v>7401565099643080</v>
      </c>
    </row>
    <row r="959" spans="8:10" ht="15" customHeight="1">
      <c r="H959" s="23">
        <v>0.43125000000000008</v>
      </c>
      <c r="I959" s="23">
        <v>5.2500000000000005E-2</v>
      </c>
      <c r="J959" s="19">
        <v>7399182069105296</v>
      </c>
    </row>
    <row r="960" spans="8:10" ht="15" customHeight="1">
      <c r="H960" s="23">
        <v>0.43125000000000008</v>
      </c>
      <c r="I960" s="23">
        <v>5.6250000000000008E-2</v>
      </c>
      <c r="J960" s="19">
        <v>7396828168749728</v>
      </c>
    </row>
    <row r="961" spans="8:10" ht="15" customHeight="1">
      <c r="H961" s="23">
        <v>0.43125000000000008</v>
      </c>
      <c r="I961" s="23">
        <v>6.0000000000000012E-2</v>
      </c>
      <c r="J961" s="19">
        <v>7394497042386528</v>
      </c>
    </row>
    <row r="962" spans="8:10" ht="15" customHeight="1">
      <c r="H962" s="23">
        <v>0.43125000000000008</v>
      </c>
      <c r="I962" s="23">
        <v>6.3750000000000015E-2</v>
      </c>
      <c r="J962" s="19">
        <v>7392194330227136</v>
      </c>
    </row>
    <row r="963" spans="8:10" ht="15" customHeight="1">
      <c r="H963" s="23">
        <v>0.43125000000000008</v>
      </c>
      <c r="I963" s="23">
        <v>6.7500000000000004E-2</v>
      </c>
      <c r="J963" s="19">
        <v>7389914963858424</v>
      </c>
    </row>
    <row r="964" spans="8:10" ht="15" customHeight="1">
      <c r="H964" s="23">
        <v>0.43125000000000008</v>
      </c>
      <c r="I964" s="23">
        <v>7.1250000000000008E-2</v>
      </c>
      <c r="J964" s="19">
        <v>7387663521158008</v>
      </c>
    </row>
    <row r="965" spans="8:10" ht="15" customHeight="1">
      <c r="H965" s="23">
        <v>0.43125000000000008</v>
      </c>
      <c r="I965" s="23">
        <v>7.5000000000000011E-2</v>
      </c>
      <c r="J965" s="19">
        <v>7385435819168248</v>
      </c>
    </row>
    <row r="966" spans="8:10" ht="15" customHeight="1">
      <c r="H966" s="23">
        <v>0.43125000000000008</v>
      </c>
      <c r="I966" s="23">
        <v>7.8750000000000014E-2</v>
      </c>
      <c r="J966" s="19">
        <v>7383235690565928</v>
      </c>
    </row>
    <row r="967" spans="8:10" ht="15" customHeight="1">
      <c r="H967" s="23">
        <v>0.43125000000000008</v>
      </c>
      <c r="I967" s="23">
        <v>8.2500000000000018E-2</v>
      </c>
      <c r="J967" s="19">
        <v>7381059584066016</v>
      </c>
    </row>
    <row r="968" spans="8:10" ht="15" customHeight="1">
      <c r="H968" s="23">
        <v>0.43125000000000008</v>
      </c>
      <c r="I968" s="23">
        <v>8.6250000000000007E-2</v>
      </c>
      <c r="J968" s="19">
        <v>7378910792634080</v>
      </c>
    </row>
    <row r="969" spans="8:10" ht="15" customHeight="1">
      <c r="H969" s="23">
        <v>0.43125000000000008</v>
      </c>
      <c r="I969" s="23">
        <v>9.0000000000000011E-2</v>
      </c>
      <c r="J969" s="19">
        <v>7376786228091096</v>
      </c>
    </row>
    <row r="970" spans="8:10" ht="15" customHeight="1">
      <c r="H970" s="23">
        <v>0.43125000000000008</v>
      </c>
      <c r="I970" s="23">
        <v>9.3750000000000014E-2</v>
      </c>
      <c r="J970" s="19">
        <v>7374688783217456</v>
      </c>
    </row>
    <row r="971" spans="8:10" ht="15" customHeight="1">
      <c r="H971" s="23">
        <v>0.43125000000000008</v>
      </c>
      <c r="I971" s="23">
        <v>9.7500000000000017E-2</v>
      </c>
      <c r="J971" s="19">
        <v>7372615716012080</v>
      </c>
    </row>
    <row r="972" spans="8:10" ht="15" customHeight="1">
      <c r="H972" s="23">
        <v>0.43125000000000008</v>
      </c>
      <c r="I972" s="23">
        <v>0.10125000000000002</v>
      </c>
      <c r="J972" s="19">
        <v>7370569617643880</v>
      </c>
    </row>
    <row r="973" spans="8:10" ht="15" customHeight="1">
      <c r="H973" s="23">
        <v>0.43125000000000008</v>
      </c>
      <c r="I973" s="23">
        <v>0.10500000000000001</v>
      </c>
      <c r="J973" s="19">
        <v>7368548007988080</v>
      </c>
    </row>
    <row r="974" spans="8:10" ht="15" customHeight="1">
      <c r="H974" s="23">
        <v>0.43125000000000008</v>
      </c>
      <c r="I974" s="23">
        <v>0.10875000000000001</v>
      </c>
      <c r="J974" s="19">
        <v>7366553248678192</v>
      </c>
    </row>
    <row r="975" spans="8:10" ht="15" customHeight="1">
      <c r="H975" s="23">
        <v>0.43125000000000008</v>
      </c>
      <c r="I975" s="23">
        <v>0.11250000000000002</v>
      </c>
      <c r="J975" s="19">
        <v>7364583058365416</v>
      </c>
    </row>
    <row r="976" spans="8:10" ht="15" customHeight="1">
      <c r="H976" s="23">
        <v>0.43125000000000008</v>
      </c>
      <c r="I976" s="23">
        <v>0.11625000000000002</v>
      </c>
      <c r="J976" s="19">
        <v>7362639623394320</v>
      </c>
    </row>
    <row r="977" spans="8:10" ht="15" customHeight="1">
      <c r="H977" s="23">
        <v>0.43125000000000008</v>
      </c>
      <c r="I977" s="23">
        <v>0.12000000000000002</v>
      </c>
      <c r="J977" s="19">
        <v>7360720811963408</v>
      </c>
    </row>
    <row r="978" spans="8:10" ht="15" customHeight="1">
      <c r="H978" s="23">
        <v>0.43125000000000008</v>
      </c>
      <c r="I978" s="23">
        <v>0.12375000000000001</v>
      </c>
      <c r="J978" s="19">
        <v>7358828676843792</v>
      </c>
    </row>
    <row r="979" spans="8:10" ht="15" customHeight="1">
      <c r="H979" s="23">
        <v>0.43125000000000008</v>
      </c>
      <c r="I979" s="23">
        <v>0.12750000000000003</v>
      </c>
      <c r="J979" s="19">
        <v>7356961195515032</v>
      </c>
    </row>
    <row r="980" spans="8:10" ht="15" customHeight="1">
      <c r="H980" s="23">
        <v>0.43125000000000008</v>
      </c>
      <c r="I980" s="23">
        <v>0.13125000000000003</v>
      </c>
      <c r="J980" s="19">
        <v>7355120320133776</v>
      </c>
    </row>
    <row r="981" spans="8:10" ht="15" customHeight="1">
      <c r="H981" s="23">
        <v>0.43125000000000008</v>
      </c>
      <c r="I981" s="23">
        <v>0.13500000000000001</v>
      </c>
      <c r="J981" s="19">
        <v>7353304104268584</v>
      </c>
    </row>
    <row r="982" spans="8:10" ht="15" customHeight="1">
      <c r="H982" s="23">
        <v>0.43125000000000008</v>
      </c>
      <c r="I982" s="23">
        <v>0.13875000000000001</v>
      </c>
      <c r="J982" s="19">
        <v>7351514430790464</v>
      </c>
    </row>
    <row r="983" spans="8:10" ht="15" customHeight="1">
      <c r="H983" s="23">
        <v>0.43125000000000008</v>
      </c>
      <c r="I983" s="23">
        <v>0.14250000000000002</v>
      </c>
      <c r="J983" s="19">
        <v>7349749413653928</v>
      </c>
    </row>
    <row r="984" spans="8:10" ht="15" customHeight="1">
      <c r="H984" s="23">
        <v>0.43125000000000008</v>
      </c>
      <c r="I984" s="23">
        <v>0.14625000000000002</v>
      </c>
      <c r="J984" s="19">
        <v>7348010929541848</v>
      </c>
    </row>
    <row r="985" spans="8:10" ht="15" customHeight="1">
      <c r="H985" s="23">
        <v>0.43125000000000008</v>
      </c>
      <c r="I985" s="23">
        <v>0.15000000000000002</v>
      </c>
      <c r="J985" s="19">
        <v>7346297226464720</v>
      </c>
    </row>
    <row r="986" spans="8:10" ht="15" customHeight="1">
      <c r="H986" s="23">
        <v>0.45000000000000007</v>
      </c>
      <c r="I986" s="23">
        <v>0</v>
      </c>
      <c r="J986" s="19">
        <v>7431430414299840</v>
      </c>
    </row>
    <row r="987" spans="8:10" ht="15" customHeight="1">
      <c r="H987" s="23">
        <v>0.45000000000000007</v>
      </c>
      <c r="I987" s="23">
        <v>3.7500000000000007E-3</v>
      </c>
      <c r="J987" s="19">
        <v>7431925770951720</v>
      </c>
    </row>
    <row r="988" spans="8:10" ht="15" customHeight="1">
      <c r="H988" s="23">
        <v>0.45000000000000007</v>
      </c>
      <c r="I988" s="23">
        <v>7.5000000000000015E-3</v>
      </c>
      <c r="J988" s="19">
        <v>7429861495806536</v>
      </c>
    </row>
    <row r="989" spans="8:10" ht="15" customHeight="1">
      <c r="H989" s="23">
        <v>0.45000000000000007</v>
      </c>
      <c r="I989" s="23">
        <v>1.1250000000000001E-2</v>
      </c>
      <c r="J989" s="19">
        <v>7427444300119304</v>
      </c>
    </row>
    <row r="990" spans="8:10" ht="15" customHeight="1">
      <c r="H990" s="23">
        <v>0.45000000000000007</v>
      </c>
      <c r="I990" s="23">
        <v>1.5000000000000003E-2</v>
      </c>
      <c r="J990" s="19">
        <v>7424833117708808</v>
      </c>
    </row>
    <row r="991" spans="8:10" ht="15" customHeight="1">
      <c r="H991" s="23">
        <v>0.45000000000000007</v>
      </c>
      <c r="I991" s="23">
        <v>1.8750000000000003E-2</v>
      </c>
      <c r="J991" s="19">
        <v>7422238102123704</v>
      </c>
    </row>
    <row r="992" spans="8:10" ht="15" customHeight="1">
      <c r="H992" s="23">
        <v>0.45000000000000007</v>
      </c>
      <c r="I992" s="23">
        <v>2.2500000000000003E-2</v>
      </c>
      <c r="J992" s="19">
        <v>7419640852506800</v>
      </c>
    </row>
    <row r="993" spans="8:10" ht="15" customHeight="1">
      <c r="H993" s="23">
        <v>0.45000000000000007</v>
      </c>
      <c r="I993" s="23">
        <v>2.6250000000000002E-2</v>
      </c>
      <c r="J993" s="19">
        <v>7417086634989288</v>
      </c>
    </row>
    <row r="994" spans="8:10" ht="15" customHeight="1">
      <c r="H994" s="23">
        <v>0.45000000000000007</v>
      </c>
      <c r="I994" s="23">
        <v>3.0000000000000006E-2</v>
      </c>
      <c r="J994" s="19">
        <v>7414545675024640</v>
      </c>
    </row>
    <row r="995" spans="8:10" ht="15" customHeight="1">
      <c r="H995" s="23">
        <v>0.45000000000000007</v>
      </c>
      <c r="I995" s="23">
        <v>3.3750000000000002E-2</v>
      </c>
      <c r="J995" s="19">
        <v>7412040190569520</v>
      </c>
    </row>
    <row r="996" spans="8:10" ht="15" customHeight="1">
      <c r="H996" s="23">
        <v>0.45000000000000007</v>
      </c>
      <c r="I996" s="23">
        <v>3.7500000000000006E-2</v>
      </c>
      <c r="J996" s="19">
        <v>7409552822429016</v>
      </c>
    </row>
    <row r="997" spans="8:10" ht="15" customHeight="1">
      <c r="H997" s="23">
        <v>0.45000000000000007</v>
      </c>
      <c r="I997" s="23">
        <v>4.1250000000000009E-2</v>
      </c>
      <c r="J997" s="19">
        <v>7407097541639600</v>
      </c>
    </row>
    <row r="998" spans="8:10" ht="15" customHeight="1">
      <c r="H998" s="23">
        <v>0.45000000000000007</v>
      </c>
      <c r="I998" s="23">
        <v>4.5000000000000005E-2</v>
      </c>
      <c r="J998" s="19">
        <v>7404662802141368</v>
      </c>
    </row>
    <row r="999" spans="8:10" ht="15" customHeight="1">
      <c r="H999" s="23">
        <v>0.45000000000000007</v>
      </c>
      <c r="I999" s="23">
        <v>4.8750000000000009E-2</v>
      </c>
      <c r="J999" s="19">
        <v>7402258314168920</v>
      </c>
    </row>
    <row r="1000" spans="8:10" ht="15" customHeight="1">
      <c r="H1000" s="23">
        <v>0.45000000000000007</v>
      </c>
      <c r="I1000" s="23">
        <v>5.2500000000000005E-2</v>
      </c>
      <c r="J1000" s="19">
        <v>7399875751318248</v>
      </c>
    </row>
    <row r="1001" spans="8:10" ht="15" customHeight="1">
      <c r="H1001" s="23">
        <v>0.45000000000000007</v>
      </c>
      <c r="I1001" s="23">
        <v>5.6250000000000008E-2</v>
      </c>
      <c r="J1001" s="19">
        <v>7397522332194928</v>
      </c>
    </row>
    <row r="1002" spans="8:10" ht="15" customHeight="1">
      <c r="H1002" s="23">
        <v>0.45000000000000007</v>
      </c>
      <c r="I1002" s="23">
        <v>6.0000000000000012E-2</v>
      </c>
      <c r="J1002" s="19">
        <v>7395191698610840</v>
      </c>
    </row>
    <row r="1003" spans="8:10" ht="15" customHeight="1">
      <c r="H1003" s="23">
        <v>0.45000000000000007</v>
      </c>
      <c r="I1003" s="23">
        <v>6.3750000000000015E-2</v>
      </c>
      <c r="J1003" s="19">
        <v>7392889488814120</v>
      </c>
    </row>
    <row r="1004" spans="8:10" ht="15" customHeight="1">
      <c r="H1004" s="23">
        <v>0.45000000000000007</v>
      </c>
      <c r="I1004" s="23">
        <v>6.7500000000000004E-2</v>
      </c>
      <c r="J1004" s="19">
        <v>7390610632619360</v>
      </c>
    </row>
    <row r="1005" spans="8:10" ht="15" customHeight="1">
      <c r="H1005" s="23">
        <v>0.45000000000000007</v>
      </c>
      <c r="I1005" s="23">
        <v>7.1250000000000008E-2</v>
      </c>
      <c r="J1005" s="19">
        <v>7388359706186376</v>
      </c>
    </row>
    <row r="1006" spans="8:10" ht="15" customHeight="1">
      <c r="H1006" s="23">
        <v>0.45000000000000007</v>
      </c>
      <c r="I1006" s="23">
        <v>7.5000000000000011E-2</v>
      </c>
      <c r="J1006" s="19">
        <v>7386132525022616</v>
      </c>
    </row>
    <row r="1007" spans="8:10" ht="15" customHeight="1">
      <c r="H1007" s="23">
        <v>0.45000000000000007</v>
      </c>
      <c r="I1007" s="23">
        <v>7.8750000000000014E-2</v>
      </c>
      <c r="J1007" s="19">
        <v>7383932920343664</v>
      </c>
    </row>
    <row r="1008" spans="8:10" ht="15" customHeight="1">
      <c r="H1008" s="23">
        <v>0.45000000000000007</v>
      </c>
      <c r="I1008" s="23">
        <v>8.2500000000000018E-2</v>
      </c>
      <c r="J1008" s="19">
        <v>7381757339588208</v>
      </c>
    </row>
    <row r="1009" spans="8:10" ht="15" customHeight="1">
      <c r="H1009" s="23">
        <v>0.45000000000000007</v>
      </c>
      <c r="I1009" s="23">
        <v>8.6250000000000007E-2</v>
      </c>
      <c r="J1009" s="19">
        <v>7379609074542872</v>
      </c>
    </row>
    <row r="1010" spans="8:10" ht="15" customHeight="1">
      <c r="H1010" s="23">
        <v>0.45000000000000007</v>
      </c>
      <c r="I1010" s="23">
        <v>9.0000000000000011E-2</v>
      </c>
      <c r="J1010" s="19">
        <v>7377485036052952</v>
      </c>
    </row>
    <row r="1011" spans="8:10" ht="15" customHeight="1">
      <c r="H1011" s="23">
        <v>0.45000000000000007</v>
      </c>
      <c r="I1011" s="23">
        <v>9.3750000000000014E-2</v>
      </c>
      <c r="J1011" s="19">
        <v>7375388116066208</v>
      </c>
    </row>
    <row r="1012" spans="8:10" ht="15" customHeight="1">
      <c r="H1012" s="23">
        <v>0.45000000000000007</v>
      </c>
      <c r="I1012" s="23">
        <v>9.7500000000000017E-2</v>
      </c>
      <c r="J1012" s="19">
        <v>7373315572009264</v>
      </c>
    </row>
    <row r="1013" spans="8:10" ht="15" customHeight="1">
      <c r="H1013" s="23">
        <v>0.45000000000000007</v>
      </c>
      <c r="I1013" s="23">
        <v>0.10125000000000002</v>
      </c>
      <c r="J1013" s="19">
        <v>7371269994728320</v>
      </c>
    </row>
    <row r="1014" spans="8:10" ht="15" customHeight="1">
      <c r="H1014" s="23">
        <v>0.45000000000000007</v>
      </c>
      <c r="I1014" s="23">
        <v>0.10500000000000001</v>
      </c>
      <c r="J1014" s="19">
        <v>7369248904198360</v>
      </c>
    </row>
    <row r="1015" spans="8:10" ht="15" customHeight="1">
      <c r="H1015" s="23">
        <v>0.45000000000000007</v>
      </c>
      <c r="I1015" s="23">
        <v>0.10875000000000001</v>
      </c>
      <c r="J1015" s="19">
        <v>7367254662673224</v>
      </c>
    </row>
    <row r="1016" spans="8:10" ht="15" customHeight="1">
      <c r="H1016" s="23">
        <v>0.45000000000000007</v>
      </c>
      <c r="I1016" s="23">
        <v>0.11250000000000002</v>
      </c>
      <c r="J1016" s="19">
        <v>7365284990273064</v>
      </c>
    </row>
    <row r="1017" spans="8:10" ht="15" customHeight="1">
      <c r="H1017" s="23">
        <v>0.45000000000000007</v>
      </c>
      <c r="I1017" s="23">
        <v>0.11625000000000002</v>
      </c>
      <c r="J1017" s="19">
        <v>7363342076003992</v>
      </c>
    </row>
    <row r="1018" spans="8:10" ht="15" customHeight="1">
      <c r="H1018" s="23">
        <v>0.45000000000000007</v>
      </c>
      <c r="I1018" s="23">
        <v>0.12000000000000002</v>
      </c>
      <c r="J1018" s="19">
        <v>7361423792582336</v>
      </c>
    </row>
    <row r="1019" spans="8:10" ht="15" customHeight="1">
      <c r="H1019" s="23">
        <v>0.45000000000000007</v>
      </c>
      <c r="I1019" s="23">
        <v>0.12375000000000001</v>
      </c>
      <c r="J1019" s="19">
        <v>7359532199933272</v>
      </c>
    </row>
    <row r="1020" spans="8:10" ht="15" customHeight="1">
      <c r="H1020" s="23">
        <v>0.45000000000000007</v>
      </c>
      <c r="I1020" s="23">
        <v>0.12750000000000003</v>
      </c>
      <c r="J1020" s="19">
        <v>7357665286403128</v>
      </c>
    </row>
    <row r="1021" spans="8:10" ht="15" customHeight="1">
      <c r="H1021" s="23">
        <v>0.45000000000000007</v>
      </c>
      <c r="I1021" s="23">
        <v>0.13125000000000003</v>
      </c>
      <c r="J1021" s="19">
        <v>7355825019562344</v>
      </c>
    </row>
    <row r="1022" spans="8:10" ht="15" customHeight="1">
      <c r="H1022" s="23">
        <v>0.45000000000000007</v>
      </c>
      <c r="I1022" s="23">
        <v>0.13500000000000001</v>
      </c>
      <c r="J1022" s="19">
        <v>7354009472739160</v>
      </c>
    </row>
    <row r="1023" spans="8:10" ht="15" customHeight="1">
      <c r="H1023" s="23">
        <v>0.45000000000000007</v>
      </c>
      <c r="I1023" s="23">
        <v>0.13875000000000001</v>
      </c>
      <c r="J1023" s="19">
        <v>7352220548789392</v>
      </c>
    </row>
    <row r="1024" spans="8:10" ht="15" customHeight="1">
      <c r="H1024" s="23">
        <v>0.45000000000000007</v>
      </c>
      <c r="I1024" s="23">
        <v>0.14250000000000002</v>
      </c>
      <c r="J1024" s="19">
        <v>7350456367570144</v>
      </c>
    </row>
    <row r="1025" spans="8:10" ht="15" customHeight="1">
      <c r="H1025" s="23">
        <v>0.45000000000000007</v>
      </c>
      <c r="I1025" s="23">
        <v>0.14625000000000002</v>
      </c>
      <c r="J1025" s="19">
        <v>7348718758017824</v>
      </c>
    </row>
    <row r="1026" spans="8:10" ht="15" customHeight="1">
      <c r="H1026" s="23">
        <v>0.45000000000000007</v>
      </c>
      <c r="I1026" s="23">
        <v>0.15000000000000002</v>
      </c>
      <c r="J1026" s="19">
        <v>7347005769126176</v>
      </c>
    </row>
    <row r="1027" spans="8:10" ht="15" customHeight="1">
      <c r="H1027" s="23">
        <v>0.46875000000000006</v>
      </c>
      <c r="I1027" s="23">
        <v>0</v>
      </c>
      <c r="J1027" s="19">
        <v>7432079216891296</v>
      </c>
    </row>
    <row r="1028" spans="8:10" ht="15" customHeight="1">
      <c r="H1028" s="23">
        <v>0.46875000000000006</v>
      </c>
      <c r="I1028" s="23">
        <v>3.7500000000000007E-3</v>
      </c>
      <c r="J1028" s="19">
        <v>7432574525064952</v>
      </c>
    </row>
    <row r="1029" spans="8:10" ht="15" customHeight="1">
      <c r="H1029" s="23">
        <v>0.46875000000000006</v>
      </c>
      <c r="I1029" s="23">
        <v>7.5000000000000015E-3</v>
      </c>
      <c r="J1029" s="19">
        <v>7430510261895584</v>
      </c>
    </row>
    <row r="1030" spans="8:10" ht="15" customHeight="1">
      <c r="H1030" s="23">
        <v>0.46875000000000006</v>
      </c>
      <c r="I1030" s="23">
        <v>1.1250000000000001E-2</v>
      </c>
      <c r="J1030" s="19">
        <v>7428093121670536</v>
      </c>
    </row>
    <row r="1031" spans="8:10" ht="15" customHeight="1">
      <c r="H1031" s="23">
        <v>0.46875000000000006</v>
      </c>
      <c r="I1031" s="23">
        <v>1.5000000000000003E-2</v>
      </c>
      <c r="J1031" s="19">
        <v>7425482034369000</v>
      </c>
    </row>
    <row r="1032" spans="8:10" ht="15" customHeight="1">
      <c r="H1032" s="23">
        <v>0.46875000000000006</v>
      </c>
      <c r="I1032" s="23">
        <v>1.8750000000000003E-2</v>
      </c>
      <c r="J1032" s="19">
        <v>7422887149458568</v>
      </c>
    </row>
    <row r="1033" spans="8:10" ht="15" customHeight="1">
      <c r="H1033" s="23">
        <v>0.46875000000000006</v>
      </c>
      <c r="I1033" s="23">
        <v>2.2500000000000003E-2</v>
      </c>
      <c r="J1033" s="19">
        <v>7420290063560600</v>
      </c>
    </row>
    <row r="1034" spans="8:10" ht="15" customHeight="1">
      <c r="H1034" s="23">
        <v>0.46875000000000006</v>
      </c>
      <c r="I1034" s="23">
        <v>2.6250000000000002E-2</v>
      </c>
      <c r="J1034" s="19">
        <v>7417736039985048</v>
      </c>
    </row>
    <row r="1035" spans="8:10" ht="15" customHeight="1">
      <c r="H1035" s="23">
        <v>0.46875000000000006</v>
      </c>
      <c r="I1035" s="23">
        <v>3.0000000000000006E-2</v>
      </c>
      <c r="J1035" s="19">
        <v>7415195301949832</v>
      </c>
    </row>
    <row r="1036" spans="8:10" ht="15" customHeight="1">
      <c r="H1036" s="23">
        <v>0.46875000000000006</v>
      </c>
      <c r="I1036" s="23">
        <v>3.3750000000000002E-2</v>
      </c>
      <c r="J1036" s="19">
        <v>7412690064949592</v>
      </c>
    </row>
    <row r="1037" spans="8:10" ht="15" customHeight="1">
      <c r="H1037" s="23">
        <v>0.46875000000000006</v>
      </c>
      <c r="I1037" s="23">
        <v>3.7500000000000006E-2</v>
      </c>
      <c r="J1037" s="19">
        <v>7410202967683808</v>
      </c>
    </row>
    <row r="1038" spans="8:10" ht="15" customHeight="1">
      <c r="H1038" s="23">
        <v>0.46875000000000006</v>
      </c>
      <c r="I1038" s="23">
        <v>4.1250000000000009E-2</v>
      </c>
      <c r="J1038" s="19">
        <v>7407747978983768</v>
      </c>
    </row>
    <row r="1039" spans="8:10" ht="15" customHeight="1">
      <c r="H1039" s="23">
        <v>0.46875000000000006</v>
      </c>
      <c r="I1039" s="23">
        <v>4.5000000000000005E-2</v>
      </c>
      <c r="J1039" s="19">
        <v>7405313550846624</v>
      </c>
    </row>
    <row r="1040" spans="8:10" ht="15" customHeight="1">
      <c r="H1040" s="23">
        <v>0.46875000000000006</v>
      </c>
      <c r="I1040" s="23">
        <v>4.8750000000000009E-2</v>
      </c>
      <c r="J1040" s="19">
        <v>7402909391525744</v>
      </c>
    </row>
    <row r="1041" spans="8:10" ht="15" customHeight="1">
      <c r="H1041" s="23">
        <v>0.46875000000000006</v>
      </c>
      <c r="I1041" s="23">
        <v>5.2500000000000005E-2</v>
      </c>
      <c r="J1041" s="19">
        <v>7400527172846952</v>
      </c>
    </row>
    <row r="1042" spans="8:10" ht="15" customHeight="1">
      <c r="H1042" s="23">
        <v>0.46875000000000006</v>
      </c>
      <c r="I1042" s="23">
        <v>5.6250000000000008E-2</v>
      </c>
      <c r="J1042" s="19">
        <v>7398174111642584</v>
      </c>
    </row>
    <row r="1043" spans="8:10" ht="15" customHeight="1">
      <c r="H1043" s="23">
        <v>0.46875000000000006</v>
      </c>
      <c r="I1043" s="23">
        <v>6.0000000000000012E-2</v>
      </c>
      <c r="J1043" s="19">
        <v>7395843848132128</v>
      </c>
    </row>
    <row r="1044" spans="8:10" ht="15" customHeight="1">
      <c r="H1044" s="23">
        <v>0.46875000000000006</v>
      </c>
      <c r="I1044" s="23">
        <v>6.3750000000000015E-2</v>
      </c>
      <c r="J1044" s="19">
        <v>7393542018990632</v>
      </c>
    </row>
    <row r="1045" spans="8:10" ht="15" customHeight="1">
      <c r="H1045" s="23">
        <v>0.46875000000000006</v>
      </c>
      <c r="I1045" s="23">
        <v>6.7500000000000004E-2</v>
      </c>
      <c r="J1045" s="19">
        <v>7391263552622384</v>
      </c>
    </row>
    <row r="1046" spans="8:10" ht="15" customHeight="1">
      <c r="H1046" s="23">
        <v>0.46875000000000006</v>
      </c>
      <c r="I1046" s="23">
        <v>7.1250000000000008E-2</v>
      </c>
      <c r="J1046" s="19">
        <v>7389013023811312</v>
      </c>
    </row>
    <row r="1047" spans="8:10" ht="15" customHeight="1">
      <c r="H1047" s="23">
        <v>0.46875000000000006</v>
      </c>
      <c r="I1047" s="23">
        <v>7.5000000000000011E-2</v>
      </c>
      <c r="J1047" s="19">
        <v>7386786246839728</v>
      </c>
    </row>
    <row r="1048" spans="8:10" ht="15" customHeight="1">
      <c r="H1048" s="23">
        <v>0.46875000000000006</v>
      </c>
      <c r="I1048" s="23">
        <v>7.8750000000000014E-2</v>
      </c>
      <c r="J1048" s="19">
        <v>7384587051741888</v>
      </c>
    </row>
    <row r="1049" spans="8:10" ht="15" customHeight="1">
      <c r="H1049" s="23">
        <v>0.46875000000000006</v>
      </c>
      <c r="I1049" s="23">
        <v>8.2500000000000018E-2</v>
      </c>
      <c r="J1049" s="19">
        <v>7382411884914464</v>
      </c>
    </row>
    <row r="1050" spans="8:10" ht="15" customHeight="1">
      <c r="H1050" s="23">
        <v>0.46875000000000006</v>
      </c>
      <c r="I1050" s="23">
        <v>8.6250000000000007E-2</v>
      </c>
      <c r="J1050" s="19">
        <v>7380264037147080</v>
      </c>
    </row>
    <row r="1051" spans="8:10" ht="15" customHeight="1">
      <c r="H1051" s="23">
        <v>0.46875000000000006</v>
      </c>
      <c r="I1051" s="23">
        <v>9.0000000000000011E-2</v>
      </c>
      <c r="J1051" s="19">
        <v>7378140418407440</v>
      </c>
    </row>
    <row r="1052" spans="8:10" ht="15" customHeight="1">
      <c r="H1052" s="23">
        <v>0.46875000000000006</v>
      </c>
      <c r="I1052" s="23">
        <v>9.3750000000000014E-2</v>
      </c>
      <c r="J1052" s="19">
        <v>7376043919789344</v>
      </c>
    </row>
    <row r="1053" spans="8:10" ht="15" customHeight="1">
      <c r="H1053" s="23">
        <v>0.46875000000000006</v>
      </c>
      <c r="I1053" s="23">
        <v>9.7500000000000017E-2</v>
      </c>
      <c r="J1053" s="19">
        <v>7373971797933576</v>
      </c>
    </row>
    <row r="1054" spans="8:10" ht="15" customHeight="1">
      <c r="H1054" s="23">
        <v>0.46875000000000006</v>
      </c>
      <c r="I1054" s="23">
        <v>0.10125000000000002</v>
      </c>
      <c r="J1054" s="19">
        <v>7371926642844704</v>
      </c>
    </row>
    <row r="1055" spans="8:10" ht="15" customHeight="1">
      <c r="H1055" s="23">
        <v>0.46875000000000006</v>
      </c>
      <c r="I1055" s="23">
        <v>0.10500000000000001</v>
      </c>
      <c r="J1055" s="19">
        <v>7369905973577136</v>
      </c>
    </row>
    <row r="1056" spans="8:10" ht="15" customHeight="1">
      <c r="H1056" s="23">
        <v>0.46875000000000006</v>
      </c>
      <c r="I1056" s="23">
        <v>0.10875000000000001</v>
      </c>
      <c r="J1056" s="19">
        <v>7367912151173352</v>
      </c>
    </row>
    <row r="1057" spans="8:10" ht="15" customHeight="1">
      <c r="H1057" s="23">
        <v>0.46875000000000006</v>
      </c>
      <c r="I1057" s="23">
        <v>0.11250000000000002</v>
      </c>
      <c r="J1057" s="19">
        <v>7365942894070496</v>
      </c>
    </row>
    <row r="1058" spans="8:10" ht="15" customHeight="1">
      <c r="H1058" s="23">
        <v>0.46875000000000006</v>
      </c>
      <c r="I1058" s="23">
        <v>0.11625000000000002</v>
      </c>
      <c r="J1058" s="19">
        <v>7364000388686768</v>
      </c>
    </row>
    <row r="1059" spans="8:10" ht="15" customHeight="1">
      <c r="H1059" s="23">
        <v>0.46875000000000006</v>
      </c>
      <c r="I1059" s="23">
        <v>0.12000000000000002</v>
      </c>
      <c r="J1059" s="19">
        <v>7362082503739712</v>
      </c>
    </row>
    <row r="1060" spans="8:10" ht="15" customHeight="1">
      <c r="H1060" s="23">
        <v>0.46875000000000006</v>
      </c>
      <c r="I1060" s="23">
        <v>0.12375000000000001</v>
      </c>
      <c r="J1060" s="19">
        <v>7360191292908368</v>
      </c>
    </row>
    <row r="1061" spans="8:10" ht="15" customHeight="1">
      <c r="H1061" s="23">
        <v>0.46875000000000006</v>
      </c>
      <c r="I1061" s="23">
        <v>0.12750000000000003</v>
      </c>
      <c r="J1061" s="19">
        <v>7358324735143624</v>
      </c>
    </row>
    <row r="1062" spans="8:10" ht="15" customHeight="1">
      <c r="H1062" s="23">
        <v>0.46875000000000006</v>
      </c>
      <c r="I1062" s="23">
        <v>0.13125000000000003</v>
      </c>
      <c r="J1062" s="19">
        <v>7356484784589904</v>
      </c>
    </row>
    <row r="1063" spans="8:10" ht="15" customHeight="1">
      <c r="H1063" s="23">
        <v>0.46875000000000006</v>
      </c>
      <c r="I1063" s="23">
        <v>0.13500000000000001</v>
      </c>
      <c r="J1063" s="19">
        <v>7354669497419432</v>
      </c>
    </row>
    <row r="1064" spans="8:10" ht="15" customHeight="1">
      <c r="H1064" s="23">
        <v>0.46875000000000006</v>
      </c>
      <c r="I1064" s="23">
        <v>0.13875000000000001</v>
      </c>
      <c r="J1064" s="19">
        <v>7352880759408128</v>
      </c>
    </row>
    <row r="1065" spans="8:10" ht="15" customHeight="1">
      <c r="H1065" s="23">
        <v>0.46875000000000006</v>
      </c>
      <c r="I1065" s="23">
        <v>0.14250000000000002</v>
      </c>
      <c r="J1065" s="19">
        <v>7351116687034240</v>
      </c>
    </row>
    <row r="1066" spans="8:10" ht="15" customHeight="1">
      <c r="H1066" s="23">
        <v>0.46875000000000006</v>
      </c>
      <c r="I1066" s="23">
        <v>0.14625000000000002</v>
      </c>
      <c r="J1066" s="19">
        <v>7349379156858528</v>
      </c>
    </row>
    <row r="1067" spans="8:10" ht="15" customHeight="1">
      <c r="H1067" s="23">
        <v>0.46875000000000006</v>
      </c>
      <c r="I1067" s="23">
        <v>0.15000000000000002</v>
      </c>
      <c r="J1067" s="19">
        <v>7347666408851480</v>
      </c>
    </row>
    <row r="1068" spans="8:10" ht="15" customHeight="1">
      <c r="H1068" s="23">
        <v>0.48750000000000004</v>
      </c>
      <c r="I1068" s="23">
        <v>0</v>
      </c>
      <c r="J1068" s="19">
        <v>7432686193125704</v>
      </c>
    </row>
    <row r="1069" spans="8:10" ht="15" customHeight="1">
      <c r="H1069" s="23">
        <v>0.48750000000000004</v>
      </c>
      <c r="I1069" s="23">
        <v>3.7500000000000007E-3</v>
      </c>
      <c r="J1069" s="19">
        <v>7433181452066648</v>
      </c>
    </row>
    <row r="1070" spans="8:10" ht="15" customHeight="1">
      <c r="H1070" s="23">
        <v>0.48750000000000004</v>
      </c>
      <c r="I1070" s="23">
        <v>7.5000000000000015E-3</v>
      </c>
      <c r="J1070" s="19">
        <v>7431117189280488</v>
      </c>
    </row>
    <row r="1071" spans="8:10" ht="15" customHeight="1">
      <c r="H1071" s="23">
        <v>0.48750000000000004</v>
      </c>
      <c r="I1071" s="23">
        <v>1.1250000000000001E-2</v>
      </c>
      <c r="J1071" s="19">
        <v>7428700083542056</v>
      </c>
    </row>
    <row r="1072" spans="8:10" ht="15" customHeight="1">
      <c r="H1072" s="23">
        <v>0.48750000000000004</v>
      </c>
      <c r="I1072" s="23">
        <v>1.5000000000000003E-2</v>
      </c>
      <c r="J1072" s="19">
        <v>7426089061695848</v>
      </c>
    </row>
    <row r="1073" spans="8:10" ht="15" customHeight="1">
      <c r="H1073" s="23">
        <v>0.48750000000000004</v>
      </c>
      <c r="I1073" s="23">
        <v>1.8750000000000003E-2</v>
      </c>
      <c r="J1073" s="19">
        <v>7423494269905768</v>
      </c>
    </row>
    <row r="1074" spans="8:10" ht="15" customHeight="1">
      <c r="H1074" s="23">
        <v>0.48750000000000004</v>
      </c>
      <c r="I1074" s="23">
        <v>2.2500000000000003E-2</v>
      </c>
      <c r="J1074" s="19">
        <v>7420897302959600</v>
      </c>
    </row>
    <row r="1075" spans="8:10" ht="15" customHeight="1">
      <c r="H1075" s="23">
        <v>0.48750000000000004</v>
      </c>
      <c r="I1075" s="23">
        <v>2.6250000000000002E-2</v>
      </c>
      <c r="J1075" s="19">
        <v>7418343422045944</v>
      </c>
    </row>
    <row r="1076" spans="8:10" ht="15" customHeight="1">
      <c r="H1076" s="23">
        <v>0.48750000000000004</v>
      </c>
      <c r="I1076" s="23">
        <v>3.0000000000000006E-2</v>
      </c>
      <c r="J1076" s="19">
        <v>7415802848789968</v>
      </c>
    </row>
    <row r="1077" spans="8:10" ht="15" customHeight="1">
      <c r="H1077" s="23">
        <v>0.48750000000000004</v>
      </c>
      <c r="I1077" s="23">
        <v>3.3750000000000002E-2</v>
      </c>
      <c r="J1077" s="19">
        <v>7413297796859088</v>
      </c>
    </row>
    <row r="1078" spans="8:10" ht="15" customHeight="1">
      <c r="H1078" s="23">
        <v>0.48750000000000004</v>
      </c>
      <c r="I1078" s="23">
        <v>3.7500000000000006E-2</v>
      </c>
      <c r="J1078" s="19">
        <v>7410810903432472</v>
      </c>
    </row>
    <row r="1079" spans="8:10" ht="15" customHeight="1">
      <c r="H1079" s="23">
        <v>0.48750000000000004</v>
      </c>
      <c r="I1079" s="23">
        <v>4.1250000000000009E-2</v>
      </c>
      <c r="J1079" s="19">
        <v>7408356135702872</v>
      </c>
    </row>
    <row r="1080" spans="8:10" ht="15" customHeight="1">
      <c r="H1080" s="23">
        <v>0.48750000000000004</v>
      </c>
      <c r="I1080" s="23">
        <v>4.5000000000000005E-2</v>
      </c>
      <c r="J1080" s="19">
        <v>7405921944247792</v>
      </c>
    </row>
    <row r="1081" spans="8:10" ht="15" customHeight="1">
      <c r="H1081" s="23">
        <v>0.48750000000000004</v>
      </c>
      <c r="I1081" s="23">
        <v>4.8750000000000009E-2</v>
      </c>
      <c r="J1081" s="19">
        <v>7403518035839912</v>
      </c>
    </row>
    <row r="1082" spans="8:10" ht="15" customHeight="1">
      <c r="H1082" s="23">
        <v>0.48750000000000004</v>
      </c>
      <c r="I1082" s="23">
        <v>5.2500000000000005E-2</v>
      </c>
      <c r="J1082" s="19">
        <v>7401136080997240</v>
      </c>
    </row>
    <row r="1083" spans="8:10" ht="15" customHeight="1">
      <c r="H1083" s="23">
        <v>0.48750000000000004</v>
      </c>
      <c r="I1083" s="23">
        <v>5.6250000000000008E-2</v>
      </c>
      <c r="J1083" s="19">
        <v>7398783295216888</v>
      </c>
    </row>
    <row r="1084" spans="8:10" ht="15" customHeight="1">
      <c r="H1084" s="23">
        <v>0.48750000000000004</v>
      </c>
      <c r="I1084" s="23">
        <v>6.0000000000000012E-2</v>
      </c>
      <c r="J1084" s="19">
        <v>7396453317529872</v>
      </c>
    </row>
    <row r="1085" spans="8:10" ht="15" customHeight="1">
      <c r="H1085" s="23">
        <v>0.48750000000000004</v>
      </c>
      <c r="I1085" s="23">
        <v>6.3750000000000015E-2</v>
      </c>
      <c r="J1085" s="19">
        <v>7394151783417416</v>
      </c>
    </row>
    <row r="1086" spans="8:10" ht="15" customHeight="1">
      <c r="H1086" s="23">
        <v>0.48750000000000004</v>
      </c>
      <c r="I1086" s="23">
        <v>6.7500000000000004E-2</v>
      </c>
      <c r="J1086" s="19">
        <v>7391873620221112</v>
      </c>
    </row>
    <row r="1087" spans="8:10" ht="15" customHeight="1">
      <c r="H1087" s="23">
        <v>0.48750000000000004</v>
      </c>
      <c r="I1087" s="23">
        <v>7.1250000000000008E-2</v>
      </c>
      <c r="J1087" s="19">
        <v>7389623401673816</v>
      </c>
    </row>
    <row r="1088" spans="8:10" ht="15" customHeight="1">
      <c r="H1088" s="23">
        <v>0.48750000000000004</v>
      </c>
      <c r="I1088" s="23">
        <v>7.5000000000000011E-2</v>
      </c>
      <c r="J1088" s="19">
        <v>7387396941130008</v>
      </c>
    </row>
    <row r="1089" spans="8:10" ht="15" customHeight="1">
      <c r="H1089" s="23">
        <v>0.48750000000000004</v>
      </c>
      <c r="I1089" s="23">
        <v>7.8750000000000014E-2</v>
      </c>
      <c r="J1089" s="19">
        <v>7385198067722888</v>
      </c>
    </row>
    <row r="1090" spans="8:10" ht="15" customHeight="1">
      <c r="H1090" s="23">
        <v>0.48750000000000004</v>
      </c>
      <c r="I1090" s="23">
        <v>8.2500000000000018E-2</v>
      </c>
      <c r="J1090" s="19">
        <v>7383023227071488</v>
      </c>
    </row>
    <row r="1091" spans="8:10" ht="15" customHeight="1">
      <c r="H1091" s="23">
        <v>0.48750000000000004</v>
      </c>
      <c r="I1091" s="23">
        <v>8.6250000000000007E-2</v>
      </c>
      <c r="J1091" s="19">
        <v>7380875709233888</v>
      </c>
    </row>
    <row r="1092" spans="8:10" ht="15" customHeight="1">
      <c r="H1092" s="23">
        <v>0.48750000000000004</v>
      </c>
      <c r="I1092" s="23">
        <v>9.0000000000000011E-2</v>
      </c>
      <c r="J1092" s="19">
        <v>7378752423583912</v>
      </c>
    </row>
    <row r="1093" spans="8:10" ht="15" customHeight="1">
      <c r="H1093" s="23">
        <v>0.48750000000000004</v>
      </c>
      <c r="I1093" s="23">
        <v>9.3750000000000014E-2</v>
      </c>
      <c r="J1093" s="19">
        <v>7376656260705376</v>
      </c>
    </row>
    <row r="1094" spans="8:10" ht="15" customHeight="1">
      <c r="H1094" s="23">
        <v>0.48750000000000004</v>
      </c>
      <c r="I1094" s="23">
        <v>9.7500000000000017E-2</v>
      </c>
      <c r="J1094" s="19">
        <v>7374584476915240</v>
      </c>
    </row>
    <row r="1095" spans="8:10" ht="15" customHeight="1">
      <c r="H1095" s="23">
        <v>0.48750000000000004</v>
      </c>
      <c r="I1095" s="23">
        <v>0.10125000000000002</v>
      </c>
      <c r="J1095" s="19">
        <v>7372539662070656</v>
      </c>
    </row>
    <row r="1096" spans="8:10" ht="15" customHeight="1">
      <c r="H1096" s="23">
        <v>0.48750000000000004</v>
      </c>
      <c r="I1096" s="23">
        <v>0.10500000000000001</v>
      </c>
      <c r="J1096" s="19">
        <v>7370519335406536</v>
      </c>
    </row>
    <row r="1097" spans="8:10" ht="15" customHeight="1">
      <c r="H1097" s="23">
        <v>0.48750000000000004</v>
      </c>
      <c r="I1097" s="23">
        <v>0.10875000000000001</v>
      </c>
      <c r="J1097" s="19">
        <v>7368525858561912</v>
      </c>
    </row>
    <row r="1098" spans="8:10" ht="15" customHeight="1">
      <c r="H1098" s="23">
        <v>0.48750000000000004</v>
      </c>
      <c r="I1098" s="23">
        <v>0.11250000000000002</v>
      </c>
      <c r="J1098" s="19">
        <v>7366556951276600</v>
      </c>
    </row>
    <row r="1099" spans="8:10" ht="15" customHeight="1">
      <c r="H1099" s="23">
        <v>0.48750000000000004</v>
      </c>
      <c r="I1099" s="23">
        <v>0.11625000000000002</v>
      </c>
      <c r="J1099" s="19">
        <v>7364614802286192</v>
      </c>
    </row>
    <row r="1100" spans="8:10" ht="15" customHeight="1">
      <c r="H1100" s="23">
        <v>0.48750000000000004</v>
      </c>
      <c r="I1100" s="23">
        <v>0.12000000000000002</v>
      </c>
      <c r="J1100" s="19">
        <v>7362697284232368</v>
      </c>
    </row>
    <row r="1101" spans="8:10" ht="15" customHeight="1">
      <c r="H1101" s="23">
        <v>0.48750000000000004</v>
      </c>
      <c r="I1101" s="23">
        <v>0.12375000000000001</v>
      </c>
      <c r="J1101" s="19">
        <v>7360806457023192</v>
      </c>
    </row>
    <row r="1102" spans="8:10" ht="15" customHeight="1">
      <c r="H1102" s="23">
        <v>0.48750000000000004</v>
      </c>
      <c r="I1102" s="23">
        <v>0.12750000000000003</v>
      </c>
      <c r="J1102" s="19">
        <v>7358940309106320</v>
      </c>
    </row>
    <row r="1103" spans="8:10" ht="15" customHeight="1">
      <c r="H1103" s="23">
        <v>0.48750000000000004</v>
      </c>
      <c r="I1103" s="23">
        <v>0.13125000000000003</v>
      </c>
      <c r="J1103" s="19">
        <v>7357100808138872</v>
      </c>
    </row>
    <row r="1104" spans="8:10" ht="15" customHeight="1">
      <c r="H1104" s="23">
        <v>0.48750000000000004</v>
      </c>
      <c r="I1104" s="23">
        <v>0.13500000000000001</v>
      </c>
      <c r="J1104" s="19">
        <v>7355286027639720</v>
      </c>
    </row>
    <row r="1105" spans="8:10" ht="15" customHeight="1">
      <c r="H1105" s="23">
        <v>0.48750000000000004</v>
      </c>
      <c r="I1105" s="23">
        <v>0.13875000000000001</v>
      </c>
      <c r="J1105" s="19">
        <v>7353497870870296</v>
      </c>
    </row>
    <row r="1106" spans="8:10" ht="15" customHeight="1">
      <c r="H1106" s="23">
        <v>0.48750000000000004</v>
      </c>
      <c r="I1106" s="23">
        <v>0.14250000000000002</v>
      </c>
      <c r="J1106" s="19">
        <v>7351734459104896</v>
      </c>
    </row>
    <row r="1107" spans="8:10" ht="15" customHeight="1">
      <c r="H1107" s="23">
        <v>0.48750000000000004</v>
      </c>
      <c r="I1107" s="23">
        <v>0.14625000000000002</v>
      </c>
      <c r="J1107" s="19">
        <v>7349997625528160</v>
      </c>
    </row>
    <row r="1108" spans="8:10" ht="15" customHeight="1">
      <c r="H1108" s="23">
        <v>0.48750000000000004</v>
      </c>
      <c r="I1108" s="23">
        <v>0.15000000000000002</v>
      </c>
      <c r="J1108" s="19">
        <v>7348285431009584</v>
      </c>
    </row>
    <row r="1109" spans="8:10" ht="15" customHeight="1">
      <c r="H1109" s="23">
        <v>0.50625000000000009</v>
      </c>
      <c r="I1109" s="23">
        <v>0</v>
      </c>
      <c r="J1109" s="19">
        <v>7433250519705496</v>
      </c>
    </row>
    <row r="1110" spans="8:10" ht="15" customHeight="1">
      <c r="H1110" s="23">
        <v>0.50625000000000009</v>
      </c>
      <c r="I1110" s="23">
        <v>3.7500000000000007E-3</v>
      </c>
      <c r="J1110" s="19">
        <v>7433745788968288</v>
      </c>
    </row>
    <row r="1111" spans="8:10" ht="15" customHeight="1">
      <c r="H1111" s="23">
        <v>0.50625000000000009</v>
      </c>
      <c r="I1111" s="23">
        <v>7.5000000000000015E-3</v>
      </c>
      <c r="J1111" s="19">
        <v>7431681570989144</v>
      </c>
    </row>
    <row r="1112" spans="8:10" ht="15" customHeight="1">
      <c r="H1112" s="23">
        <v>0.50625000000000009</v>
      </c>
      <c r="I1112" s="23">
        <v>1.1250000000000001E-2</v>
      </c>
      <c r="J1112" s="19">
        <v>7429264531539024</v>
      </c>
    </row>
    <row r="1113" spans="8:10" ht="15" customHeight="1">
      <c r="H1113" s="23">
        <v>0.50625000000000009</v>
      </c>
      <c r="I1113" s="23">
        <v>1.5000000000000003E-2</v>
      </c>
      <c r="J1113" s="19">
        <v>7426653595637872</v>
      </c>
    </row>
    <row r="1114" spans="8:10" ht="15" customHeight="1">
      <c r="H1114" s="23">
        <v>0.50625000000000009</v>
      </c>
      <c r="I1114" s="23">
        <v>1.8750000000000003E-2</v>
      </c>
      <c r="J1114" s="19">
        <v>7424058907293424</v>
      </c>
    </row>
    <row r="1115" spans="8:10" ht="15" customHeight="1">
      <c r="H1115" s="23">
        <v>0.50625000000000009</v>
      </c>
      <c r="I1115" s="23">
        <v>2.2500000000000003E-2</v>
      </c>
      <c r="J1115" s="19">
        <v>7421462060377192</v>
      </c>
    </row>
    <row r="1116" spans="8:10" ht="15" customHeight="1">
      <c r="H1116" s="23">
        <v>0.50625000000000009</v>
      </c>
      <c r="I1116" s="23">
        <v>2.6250000000000002E-2</v>
      </c>
      <c r="J1116" s="19">
        <v>7418908314807880</v>
      </c>
    </row>
    <row r="1117" spans="8:10" ht="15" customHeight="1">
      <c r="H1117" s="23">
        <v>0.50625000000000009</v>
      </c>
      <c r="I1117" s="23">
        <v>3.0000000000000006E-2</v>
      </c>
      <c r="J1117" s="19">
        <v>7416367891361064</v>
      </c>
    </row>
    <row r="1118" spans="8:10" ht="15" customHeight="1">
      <c r="H1118" s="23">
        <v>0.50625000000000009</v>
      </c>
      <c r="I1118" s="23">
        <v>3.3750000000000002E-2</v>
      </c>
      <c r="J1118" s="19">
        <v>7413863002580960</v>
      </c>
    </row>
    <row r="1119" spans="8:10" ht="15" customHeight="1">
      <c r="H1119" s="23">
        <v>0.50625000000000009</v>
      </c>
      <c r="I1119" s="23">
        <v>3.7500000000000006E-2</v>
      </c>
      <c r="J1119" s="19">
        <v>7411376284757576</v>
      </c>
    </row>
    <row r="1120" spans="8:10" ht="15" customHeight="1">
      <c r="H1120" s="23">
        <v>0.50625000000000009</v>
      </c>
      <c r="I1120" s="23">
        <v>4.1250000000000009E-2</v>
      </c>
      <c r="J1120" s="19">
        <v>7408921704042376</v>
      </c>
    </row>
    <row r="1121" spans="8:10" ht="15" customHeight="1">
      <c r="H1121" s="23">
        <v>0.50625000000000009</v>
      </c>
      <c r="I1121" s="23">
        <v>4.5000000000000005E-2</v>
      </c>
      <c r="J1121" s="19">
        <v>7406487710133088</v>
      </c>
    </row>
    <row r="1122" spans="8:10" ht="15" customHeight="1">
      <c r="H1122" s="23">
        <v>0.50625000000000009</v>
      </c>
      <c r="I1122" s="23">
        <v>4.8750000000000009E-2</v>
      </c>
      <c r="J1122" s="19">
        <v>7404084008830024</v>
      </c>
    </row>
    <row r="1123" spans="8:10" ht="15" customHeight="1">
      <c r="H1123" s="23">
        <v>0.50625000000000009</v>
      </c>
      <c r="I1123" s="23">
        <v>5.2500000000000005E-2</v>
      </c>
      <c r="J1123" s="19">
        <v>7401702269803760</v>
      </c>
    </row>
    <row r="1124" spans="8:10" ht="15" customHeight="1">
      <c r="H1124" s="23">
        <v>0.50625000000000009</v>
      </c>
      <c r="I1124" s="23">
        <v>5.6250000000000008E-2</v>
      </c>
      <c r="J1124" s="19">
        <v>7399349707645776</v>
      </c>
    </row>
    <row r="1125" spans="8:10" ht="15" customHeight="1">
      <c r="H1125" s="23">
        <v>0.50625000000000009</v>
      </c>
      <c r="I1125" s="23">
        <v>6.0000000000000012E-2</v>
      </c>
      <c r="J1125" s="19">
        <v>7397019960585184</v>
      </c>
    </row>
    <row r="1126" spans="8:10" ht="15" customHeight="1">
      <c r="H1126" s="23">
        <v>0.50625000000000009</v>
      </c>
      <c r="I1126" s="23">
        <v>6.3750000000000015E-2</v>
      </c>
      <c r="J1126" s="19">
        <v>7394718663265544</v>
      </c>
    </row>
    <row r="1127" spans="8:10" ht="15" customHeight="1">
      <c r="H1127" s="23">
        <v>0.50625000000000009</v>
      </c>
      <c r="I1127" s="23">
        <v>6.7500000000000004E-2</v>
      </c>
      <c r="J1127" s="19">
        <v>7392440742281704</v>
      </c>
    </row>
    <row r="1128" spans="8:10" ht="15" customHeight="1">
      <c r="H1128" s="23">
        <v>0.50625000000000009</v>
      </c>
      <c r="I1128" s="23">
        <v>7.1250000000000008E-2</v>
      </c>
      <c r="J1128" s="19">
        <v>7390190770598560</v>
      </c>
    </row>
    <row r="1129" spans="8:10" ht="15" customHeight="1">
      <c r="H1129" s="23">
        <v>0.50625000000000009</v>
      </c>
      <c r="I1129" s="23">
        <v>7.5000000000000011E-2</v>
      </c>
      <c r="J1129" s="19">
        <v>7387964560884272</v>
      </c>
    </row>
    <row r="1130" spans="8:10" ht="15" customHeight="1">
      <c r="H1130" s="23">
        <v>0.50625000000000009</v>
      </c>
      <c r="I1130" s="23">
        <v>7.8750000000000014E-2</v>
      </c>
      <c r="J1130" s="19">
        <v>7385765941573576</v>
      </c>
    </row>
    <row r="1131" spans="8:10" ht="15" customHeight="1">
      <c r="H1131" s="23">
        <v>0.50625000000000009</v>
      </c>
      <c r="I1131" s="23">
        <v>8.2500000000000018E-2</v>
      </c>
      <c r="J1131" s="19">
        <v>7383591357657680</v>
      </c>
    </row>
    <row r="1132" spans="8:10" ht="15" customHeight="1">
      <c r="H1132" s="23">
        <v>0.50625000000000009</v>
      </c>
      <c r="I1132" s="23">
        <v>8.6250000000000007E-2</v>
      </c>
      <c r="J1132" s="19">
        <v>7381444098554928</v>
      </c>
    </row>
    <row r="1133" spans="8:10" ht="15" customHeight="1">
      <c r="H1133" s="23">
        <v>0.50625000000000009</v>
      </c>
      <c r="I1133" s="23">
        <v>9.0000000000000011E-2</v>
      </c>
      <c r="J1133" s="19">
        <v>7379321073050656</v>
      </c>
    </row>
    <row r="1134" spans="8:10" ht="15" customHeight="1">
      <c r="H1134" s="23">
        <v>0.50625000000000009</v>
      </c>
      <c r="I1134" s="23">
        <v>9.3750000000000014E-2</v>
      </c>
      <c r="J1134" s="19">
        <v>7377225171107320</v>
      </c>
    </row>
    <row r="1135" spans="8:10" ht="15" customHeight="1">
      <c r="H1135" s="23">
        <v>0.50625000000000009</v>
      </c>
      <c r="I1135" s="23">
        <v>9.7500000000000017E-2</v>
      </c>
      <c r="J1135" s="19">
        <v>7375153648422496</v>
      </c>
    </row>
    <row r="1136" spans="8:10" ht="15" customHeight="1">
      <c r="H1136" s="23">
        <v>0.50625000000000009</v>
      </c>
      <c r="I1136" s="23">
        <v>0.10125000000000002</v>
      </c>
      <c r="J1136" s="19">
        <v>7373109094125104</v>
      </c>
    </row>
    <row r="1137" spans="8:10" ht="15" customHeight="1">
      <c r="H1137" s="23">
        <v>0.50625000000000009</v>
      </c>
      <c r="I1137" s="23">
        <v>0.10500000000000001</v>
      </c>
      <c r="J1137" s="19">
        <v>7371089026588096</v>
      </c>
    </row>
    <row r="1138" spans="8:10" ht="15" customHeight="1">
      <c r="H1138" s="23">
        <v>0.50625000000000009</v>
      </c>
      <c r="I1138" s="23">
        <v>0.10875000000000001</v>
      </c>
      <c r="J1138" s="19">
        <v>7369095806261728</v>
      </c>
    </row>
    <row r="1139" spans="8:10" ht="15" customHeight="1">
      <c r="H1139" s="23">
        <v>0.50625000000000009</v>
      </c>
      <c r="I1139" s="23">
        <v>0.11250000000000002</v>
      </c>
      <c r="J1139" s="19">
        <v>7367127151202904</v>
      </c>
    </row>
    <row r="1140" spans="8:10" ht="15" customHeight="1">
      <c r="H1140" s="23">
        <v>0.50625000000000009</v>
      </c>
      <c r="I1140" s="23">
        <v>0.11625000000000002</v>
      </c>
      <c r="J1140" s="19">
        <v>7365185247576632</v>
      </c>
    </row>
    <row r="1141" spans="8:10" ht="15" customHeight="1">
      <c r="H1141" s="23">
        <v>0.50625000000000009</v>
      </c>
      <c r="I1141" s="23">
        <v>0.12000000000000002</v>
      </c>
      <c r="J1141" s="19">
        <v>7363267964102136</v>
      </c>
    </row>
    <row r="1142" spans="8:10" ht="15" customHeight="1">
      <c r="H1142" s="23">
        <v>0.50625000000000009</v>
      </c>
      <c r="I1142" s="23">
        <v>0.12375000000000001</v>
      </c>
      <c r="J1142" s="19">
        <v>7361377354655416</v>
      </c>
    </row>
    <row r="1143" spans="8:10" ht="15" customHeight="1">
      <c r="H1143" s="23">
        <v>0.50625000000000009</v>
      </c>
      <c r="I1143" s="23">
        <v>0.12750000000000003</v>
      </c>
      <c r="J1143" s="19">
        <v>7359511398718608</v>
      </c>
    </row>
    <row r="1144" spans="8:10" ht="15" customHeight="1">
      <c r="H1144" s="23">
        <v>0.50625000000000009</v>
      </c>
      <c r="I1144" s="23">
        <v>0.13125000000000003</v>
      </c>
      <c r="J1144" s="19">
        <v>7357672051249344</v>
      </c>
    </row>
    <row r="1145" spans="8:10" ht="15" customHeight="1">
      <c r="H1145" s="23">
        <v>0.50625000000000009</v>
      </c>
      <c r="I1145" s="23">
        <v>0.13500000000000001</v>
      </c>
      <c r="J1145" s="19">
        <v>7355857369596072</v>
      </c>
    </row>
    <row r="1146" spans="8:10" ht="15" customHeight="1">
      <c r="H1146" s="23">
        <v>0.50625000000000009</v>
      </c>
      <c r="I1146" s="23">
        <v>0.13875000000000001</v>
      </c>
      <c r="J1146" s="19">
        <v>7354069240815888</v>
      </c>
    </row>
    <row r="1147" spans="8:10" ht="15" customHeight="1">
      <c r="H1147" s="23">
        <v>0.50625000000000009</v>
      </c>
      <c r="I1147" s="23">
        <v>0.14250000000000002</v>
      </c>
      <c r="J1147" s="19">
        <v>7352305782260104</v>
      </c>
    </row>
    <row r="1148" spans="8:10" ht="15" customHeight="1">
      <c r="H1148" s="23">
        <v>0.50625000000000009</v>
      </c>
      <c r="I1148" s="23">
        <v>0.14625000000000002</v>
      </c>
      <c r="J1148" s="19">
        <v>7350568869211472</v>
      </c>
    </row>
    <row r="1149" spans="8:10" ht="15" customHeight="1">
      <c r="H1149" s="23">
        <v>0.50625000000000009</v>
      </c>
      <c r="I1149" s="23">
        <v>0.15000000000000002</v>
      </c>
      <c r="J1149" s="19">
        <v>7348856734205960</v>
      </c>
    </row>
    <row r="1150" spans="8:10" ht="15" customHeight="1">
      <c r="H1150" s="23">
        <v>0.52500000000000013</v>
      </c>
      <c r="I1150" s="23">
        <v>0</v>
      </c>
      <c r="J1150" s="19">
        <v>7433771735444336</v>
      </c>
    </row>
    <row r="1151" spans="8:10" ht="15" customHeight="1">
      <c r="H1151" s="23">
        <v>0.52500000000000013</v>
      </c>
      <c r="I1151" s="23">
        <v>3.7500000000000007E-3</v>
      </c>
      <c r="J1151" s="19">
        <v>7434267097658440</v>
      </c>
    </row>
    <row r="1152" spans="8:10" ht="15" customHeight="1">
      <c r="H1152" s="23">
        <v>0.52500000000000013</v>
      </c>
      <c r="I1152" s="23">
        <v>7.5000000000000015E-3</v>
      </c>
      <c r="J1152" s="19">
        <v>7432202993782488</v>
      </c>
    </row>
    <row r="1153" spans="8:10" ht="15" customHeight="1">
      <c r="H1153" s="23">
        <v>0.52500000000000013</v>
      </c>
      <c r="I1153" s="23">
        <v>1.1250000000000001E-2</v>
      </c>
      <c r="J1153" s="19">
        <v>7429786078151112</v>
      </c>
    </row>
    <row r="1154" spans="8:10" ht="15" customHeight="1">
      <c r="H1154" s="23">
        <v>0.52500000000000013</v>
      </c>
      <c r="I1154" s="23">
        <v>1.5000000000000003E-2</v>
      </c>
      <c r="J1154" s="19">
        <v>7427175274731064</v>
      </c>
    </row>
    <row r="1155" spans="8:10" ht="15" customHeight="1">
      <c r="H1155" s="23">
        <v>0.52500000000000013</v>
      </c>
      <c r="I1155" s="23">
        <v>1.8750000000000003E-2</v>
      </c>
      <c r="J1155" s="19">
        <v>7424580726211704</v>
      </c>
    </row>
    <row r="1156" spans="8:10" ht="15" customHeight="1">
      <c r="H1156" s="23">
        <v>0.52500000000000013</v>
      </c>
      <c r="I1156" s="23">
        <v>2.2500000000000003E-2</v>
      </c>
      <c r="J1156" s="19">
        <v>7421984026277288</v>
      </c>
    </row>
    <row r="1157" spans="8:10" ht="15" customHeight="1">
      <c r="H1157" s="23">
        <v>0.52500000000000013</v>
      </c>
      <c r="I1157" s="23">
        <v>2.6250000000000002E-2</v>
      </c>
      <c r="J1157" s="19">
        <v>7419430434306856</v>
      </c>
    </row>
    <row r="1158" spans="8:10" ht="15" customHeight="1">
      <c r="H1158" s="23">
        <v>0.52500000000000013</v>
      </c>
      <c r="I1158" s="23">
        <v>3.0000000000000006E-2</v>
      </c>
      <c r="J1158" s="19">
        <v>7416890170883464</v>
      </c>
    </row>
    <row r="1159" spans="8:10" ht="15" customHeight="1">
      <c r="H1159" s="23">
        <v>0.52500000000000013</v>
      </c>
      <c r="I1159" s="23">
        <v>3.3750000000000002E-2</v>
      </c>
      <c r="J1159" s="19">
        <v>7414385448065576</v>
      </c>
    </row>
    <row r="1160" spans="8:10" ht="15" customHeight="1">
      <c r="H1160" s="23">
        <v>0.52500000000000013</v>
      </c>
      <c r="I1160" s="23">
        <v>3.7500000000000006E-2</v>
      </c>
      <c r="J1160" s="19">
        <v>7411898901830704</v>
      </c>
    </row>
    <row r="1161" spans="8:10" ht="15" customHeight="1">
      <c r="H1161" s="23">
        <v>0.52500000000000013</v>
      </c>
      <c r="I1161" s="23">
        <v>4.1250000000000009E-2</v>
      </c>
      <c r="J1161" s="19">
        <v>7409444497835192</v>
      </c>
    </row>
    <row r="1162" spans="8:10" ht="15" customHeight="1">
      <c r="H1162" s="23">
        <v>0.52500000000000013</v>
      </c>
      <c r="I1162" s="23">
        <v>4.5000000000000005E-2</v>
      </c>
      <c r="J1162" s="19">
        <v>7407010685392320</v>
      </c>
    </row>
    <row r="1163" spans="8:10" ht="15" customHeight="1">
      <c r="H1163" s="23">
        <v>0.52500000000000013</v>
      </c>
      <c r="I1163" s="23">
        <v>4.8750000000000009E-2</v>
      </c>
      <c r="J1163" s="19">
        <v>7404607169793880</v>
      </c>
    </row>
    <row r="1164" spans="8:10" ht="15" customHeight="1">
      <c r="H1164" s="23">
        <v>0.52500000000000013</v>
      </c>
      <c r="I1164" s="23">
        <v>5.2500000000000005E-2</v>
      </c>
      <c r="J1164" s="19">
        <v>7402225620281768</v>
      </c>
    </row>
    <row r="1165" spans="8:10" ht="15" customHeight="1">
      <c r="H1165" s="23">
        <v>0.52500000000000013</v>
      </c>
      <c r="I1165" s="23">
        <v>5.6250000000000008E-2</v>
      </c>
      <c r="J1165" s="19">
        <v>7399873250930944</v>
      </c>
    </row>
    <row r="1166" spans="8:10" ht="15" customHeight="1">
      <c r="H1166" s="23">
        <v>0.52500000000000013</v>
      </c>
      <c r="I1166" s="23">
        <v>6.0000000000000012E-2</v>
      </c>
      <c r="J1166" s="19">
        <v>7397543699517848</v>
      </c>
    </row>
    <row r="1167" spans="8:10" ht="15" customHeight="1">
      <c r="H1167" s="23">
        <v>0.52500000000000013</v>
      </c>
      <c r="I1167" s="23">
        <v>6.3750000000000015E-2</v>
      </c>
      <c r="J1167" s="19">
        <v>7395242600169528</v>
      </c>
    </row>
    <row r="1168" spans="8:10" ht="15" customHeight="1">
      <c r="H1168" s="23">
        <v>0.52500000000000013</v>
      </c>
      <c r="I1168" s="23">
        <v>6.7500000000000004E-2</v>
      </c>
      <c r="J1168" s="19">
        <v>7392964879019120</v>
      </c>
    </row>
    <row r="1169" spans="8:10" ht="15" customHeight="1">
      <c r="H1169" s="23">
        <v>0.52500000000000013</v>
      </c>
      <c r="I1169" s="23">
        <v>7.1250000000000008E-2</v>
      </c>
      <c r="J1169" s="19">
        <v>7390715108524120</v>
      </c>
    </row>
    <row r="1170" spans="8:10" ht="15" customHeight="1">
      <c r="H1170" s="23">
        <v>0.52500000000000013</v>
      </c>
      <c r="I1170" s="23">
        <v>7.5000000000000011E-2</v>
      </c>
      <c r="J1170" s="19">
        <v>7388489100895496</v>
      </c>
    </row>
    <row r="1171" spans="8:10" ht="15" customHeight="1">
      <c r="H1171" s="23">
        <v>0.52500000000000013</v>
      </c>
      <c r="I1171" s="23">
        <v>7.8750000000000014E-2</v>
      </c>
      <c r="J1171" s="19">
        <v>7386290684079888</v>
      </c>
    </row>
    <row r="1172" spans="8:10" ht="15" customHeight="1">
      <c r="H1172" s="23">
        <v>0.52500000000000013</v>
      </c>
      <c r="I1172" s="23">
        <v>8.2500000000000018E-2</v>
      </c>
      <c r="J1172" s="19">
        <v>7384116302632376</v>
      </c>
    </row>
    <row r="1173" spans="8:10" ht="15" customHeight="1">
      <c r="H1173" s="23">
        <v>0.52500000000000013</v>
      </c>
      <c r="I1173" s="23">
        <v>8.6250000000000007E-2</v>
      </c>
      <c r="J1173" s="19">
        <v>7381969245521424</v>
      </c>
    </row>
    <row r="1174" spans="8:10" ht="15" customHeight="1">
      <c r="H1174" s="23">
        <v>0.52500000000000013</v>
      </c>
      <c r="I1174" s="23">
        <v>9.0000000000000011E-2</v>
      </c>
      <c r="J1174" s="19">
        <v>7379846421146736</v>
      </c>
    </row>
    <row r="1175" spans="8:10" ht="15" customHeight="1">
      <c r="H1175" s="23">
        <v>0.52500000000000013</v>
      </c>
      <c r="I1175" s="23">
        <v>9.3750000000000014E-2</v>
      </c>
      <c r="J1175" s="19">
        <v>7377750719104416</v>
      </c>
    </row>
    <row r="1176" spans="8:10" ht="15" customHeight="1">
      <c r="H1176" s="23">
        <v>0.52500000000000013</v>
      </c>
      <c r="I1176" s="23">
        <v>9.7500000000000017E-2</v>
      </c>
      <c r="J1176" s="19">
        <v>7375679394832328</v>
      </c>
    </row>
    <row r="1177" spans="8:10" ht="15" customHeight="1">
      <c r="H1177" s="23">
        <v>0.52500000000000013</v>
      </c>
      <c r="I1177" s="23">
        <v>0.10125000000000002</v>
      </c>
      <c r="J1177" s="19">
        <v>7373635037300336</v>
      </c>
    </row>
    <row r="1178" spans="8:10" ht="15" customHeight="1">
      <c r="H1178" s="23">
        <v>0.52500000000000013</v>
      </c>
      <c r="I1178" s="23">
        <v>0.10500000000000001</v>
      </c>
      <c r="J1178" s="19">
        <v>7371615164954864</v>
      </c>
    </row>
    <row r="1179" spans="8:10" ht="15" customHeight="1">
      <c r="H1179" s="23">
        <v>0.52500000000000013</v>
      </c>
      <c r="I1179" s="23">
        <v>0.10875000000000001</v>
      </c>
      <c r="J1179" s="19">
        <v>7369622138634576</v>
      </c>
    </row>
    <row r="1180" spans="8:10" ht="15" customHeight="1">
      <c r="H1180" s="23">
        <v>0.52500000000000013</v>
      </c>
      <c r="I1180" s="23">
        <v>0.11250000000000002</v>
      </c>
      <c r="J1180" s="19">
        <v>7367653677357616</v>
      </c>
    </row>
    <row r="1181" spans="8:10" ht="15" customHeight="1">
      <c r="H1181" s="23">
        <v>0.52500000000000013</v>
      </c>
      <c r="I1181" s="23">
        <v>0.11625000000000002</v>
      </c>
      <c r="J1181" s="19">
        <v>7365711969105304</v>
      </c>
    </row>
    <row r="1182" spans="8:10" ht="15" customHeight="1">
      <c r="H1182" s="23">
        <v>0.52500000000000013</v>
      </c>
      <c r="I1182" s="23">
        <v>0.12000000000000002</v>
      </c>
      <c r="J1182" s="19">
        <v>7363794885801288</v>
      </c>
    </row>
    <row r="1183" spans="8:10" ht="15" customHeight="1">
      <c r="H1183" s="23">
        <v>0.52500000000000013</v>
      </c>
      <c r="I1183" s="23">
        <v>0.12375000000000001</v>
      </c>
      <c r="J1183" s="19">
        <v>7361904486550400</v>
      </c>
    </row>
    <row r="1184" spans="8:10" ht="15" customHeight="1">
      <c r="H1184" s="23">
        <v>0.52500000000000013</v>
      </c>
      <c r="I1184" s="23">
        <v>0.12750000000000003</v>
      </c>
      <c r="J1184" s="19">
        <v>7360038758959616</v>
      </c>
    </row>
    <row r="1185" spans="8:10" ht="15" customHeight="1">
      <c r="H1185" s="23">
        <v>0.52500000000000013</v>
      </c>
      <c r="I1185" s="23">
        <v>0.13125000000000003</v>
      </c>
      <c r="J1185" s="19">
        <v>7358199669687592</v>
      </c>
    </row>
    <row r="1186" spans="8:10" ht="15" customHeight="1">
      <c r="H1186" s="23">
        <v>0.52500000000000013</v>
      </c>
      <c r="I1186" s="23">
        <v>0.13500000000000001</v>
      </c>
      <c r="J1186" s="19">
        <v>7356385291186464</v>
      </c>
    </row>
    <row r="1187" spans="8:10" ht="15" customHeight="1">
      <c r="H1187" s="23">
        <v>0.52500000000000013</v>
      </c>
      <c r="I1187" s="23">
        <v>0.13875000000000001</v>
      </c>
      <c r="J1187" s="19">
        <v>7354597525646080</v>
      </c>
    </row>
    <row r="1188" spans="8:10" ht="15" customHeight="1">
      <c r="H1188" s="23">
        <v>0.52500000000000013</v>
      </c>
      <c r="I1188" s="23">
        <v>0.14250000000000002</v>
      </c>
      <c r="J1188" s="19">
        <v>7352834493866392</v>
      </c>
    </row>
    <row r="1189" spans="8:10" ht="15" customHeight="1">
      <c r="H1189" s="23">
        <v>0.52500000000000013</v>
      </c>
      <c r="I1189" s="23">
        <v>0.14625000000000002</v>
      </c>
      <c r="J1189" s="19">
        <v>7351098030516328</v>
      </c>
    </row>
    <row r="1190" spans="8:10" ht="15" customHeight="1">
      <c r="H1190" s="23">
        <v>0.52500000000000013</v>
      </c>
      <c r="I1190" s="23">
        <v>0.15000000000000002</v>
      </c>
      <c r="J1190" s="19">
        <v>7349386203554720</v>
      </c>
    </row>
    <row r="1191" spans="8:10" ht="15" customHeight="1">
      <c r="H1191" s="23">
        <v>0.54375000000000007</v>
      </c>
      <c r="I1191" s="23">
        <v>0</v>
      </c>
      <c r="J1191" s="19">
        <v>7434249706934216</v>
      </c>
    </row>
    <row r="1192" spans="8:10" ht="15" customHeight="1">
      <c r="H1192" s="23">
        <v>0.54375000000000007</v>
      </c>
      <c r="I1192" s="23">
        <v>3.7500000000000007E-3</v>
      </c>
      <c r="J1192" s="19">
        <v>7434745248922656</v>
      </c>
    </row>
    <row r="1193" spans="8:10" ht="15" customHeight="1">
      <c r="H1193" s="23">
        <v>0.54375000000000007</v>
      </c>
      <c r="I1193" s="23">
        <v>7.5000000000000015E-3</v>
      </c>
      <c r="J1193" s="19">
        <v>7432681332612456</v>
      </c>
    </row>
    <row r="1194" spans="8:10" ht="15" customHeight="1">
      <c r="H1194" s="23">
        <v>0.54375000000000007</v>
      </c>
      <c r="I1194" s="23">
        <v>1.1250000000000001E-2</v>
      </c>
      <c r="J1194" s="19">
        <v>7430264603155032</v>
      </c>
    </row>
    <row r="1195" spans="8:10" ht="15" customHeight="1">
      <c r="H1195" s="23">
        <v>0.54375000000000007</v>
      </c>
      <c r="I1195" s="23">
        <v>1.5000000000000003E-2</v>
      </c>
      <c r="J1195" s="19">
        <v>7427653984527792</v>
      </c>
    </row>
    <row r="1196" spans="8:10" ht="15" customHeight="1">
      <c r="H1196" s="23">
        <v>0.54375000000000007</v>
      </c>
      <c r="I1196" s="23">
        <v>1.8750000000000003E-2</v>
      </c>
      <c r="J1196" s="19">
        <v>7425059619014680</v>
      </c>
    </row>
    <row r="1197" spans="8:10" ht="15" customHeight="1">
      <c r="H1197" s="23">
        <v>0.54375000000000007</v>
      </c>
      <c r="I1197" s="23">
        <v>2.2500000000000003E-2</v>
      </c>
      <c r="J1197" s="19">
        <v>7422463100811480</v>
      </c>
    </row>
    <row r="1198" spans="8:10" ht="15" customHeight="1">
      <c r="H1198" s="23">
        <v>0.54375000000000007</v>
      </c>
      <c r="I1198" s="23">
        <v>2.6250000000000002E-2</v>
      </c>
      <c r="J1198" s="19">
        <v>7419909689403760</v>
      </c>
    </row>
    <row r="1199" spans="8:10" ht="15" customHeight="1">
      <c r="H1199" s="23">
        <v>0.54375000000000007</v>
      </c>
      <c r="I1199" s="23">
        <v>3.0000000000000006E-2</v>
      </c>
      <c r="J1199" s="19">
        <v>7417369605733928</v>
      </c>
    </row>
    <row r="1200" spans="8:10" ht="15" customHeight="1">
      <c r="H1200" s="23">
        <v>0.54375000000000007</v>
      </c>
      <c r="I1200" s="23">
        <v>3.3750000000000002E-2</v>
      </c>
      <c r="J1200" s="19">
        <v>7414865061899920</v>
      </c>
    </row>
    <row r="1201" spans="8:10" ht="15" customHeight="1">
      <c r="H1201" s="23">
        <v>0.54375000000000007</v>
      </c>
      <c r="I1201" s="23">
        <v>3.7500000000000006E-2</v>
      </c>
      <c r="J1201" s="19">
        <v>7412378694031712</v>
      </c>
    </row>
    <row r="1202" spans="8:10" ht="15" customHeight="1">
      <c r="H1202" s="23">
        <v>0.54375000000000007</v>
      </c>
      <c r="I1202" s="23">
        <v>4.1250000000000009E-2</v>
      </c>
      <c r="J1202" s="19">
        <v>7409924467732440</v>
      </c>
    </row>
    <row r="1203" spans="8:10" ht="15" customHeight="1">
      <c r="H1203" s="23">
        <v>0.54375000000000007</v>
      </c>
      <c r="I1203" s="23">
        <v>4.5000000000000005E-2</v>
      </c>
      <c r="J1203" s="19">
        <v>7407490832325664</v>
      </c>
    </row>
    <row r="1204" spans="8:10" ht="15" customHeight="1">
      <c r="H1204" s="23">
        <v>0.54375000000000007</v>
      </c>
      <c r="I1204" s="23">
        <v>4.8750000000000009E-2</v>
      </c>
      <c r="J1204" s="19">
        <v>7405087492968248</v>
      </c>
    </row>
    <row r="1205" spans="8:10" ht="15" customHeight="1">
      <c r="H1205" s="23">
        <v>0.54375000000000007</v>
      </c>
      <c r="I1205" s="23">
        <v>5.2500000000000005E-2</v>
      </c>
      <c r="J1205" s="19">
        <v>7402706118807176</v>
      </c>
    </row>
    <row r="1206" spans="8:10" ht="15" customHeight="1">
      <c r="H1206" s="23">
        <v>0.54375000000000007</v>
      </c>
      <c r="I1206" s="23">
        <v>5.6250000000000008E-2</v>
      </c>
      <c r="J1206" s="19">
        <v>7400353923713920</v>
      </c>
    </row>
    <row r="1207" spans="8:10" ht="15" customHeight="1">
      <c r="H1207" s="23">
        <v>0.54375000000000007</v>
      </c>
      <c r="I1207" s="23">
        <v>6.0000000000000012E-2</v>
      </c>
      <c r="J1207" s="19">
        <v>7398024545289440</v>
      </c>
    </row>
    <row r="1208" spans="8:10" ht="15" customHeight="1">
      <c r="H1208" s="23">
        <v>0.54375000000000007</v>
      </c>
      <c r="I1208" s="23">
        <v>6.3750000000000015E-2</v>
      </c>
      <c r="J1208" s="19">
        <v>7395723617400416</v>
      </c>
    </row>
    <row r="1209" spans="8:10" ht="15" customHeight="1">
      <c r="H1209" s="23">
        <v>0.54375000000000007</v>
      </c>
      <c r="I1209" s="23">
        <v>6.7500000000000004E-2</v>
      </c>
      <c r="J1209" s="19">
        <v>7393446065941280</v>
      </c>
    </row>
    <row r="1210" spans="8:10" ht="15" customHeight="1">
      <c r="H1210" s="23">
        <v>0.54375000000000007</v>
      </c>
      <c r="I1210" s="23">
        <v>7.1250000000000008E-2</v>
      </c>
      <c r="J1210" s="19">
        <v>7391196463061312</v>
      </c>
    </row>
    <row r="1211" spans="8:10" ht="15" customHeight="1">
      <c r="H1211" s="23">
        <v>0.54375000000000007</v>
      </c>
      <c r="I1211" s="23">
        <v>7.5000000000000011E-2</v>
      </c>
      <c r="J1211" s="19">
        <v>7388970620679664</v>
      </c>
    </row>
    <row r="1212" spans="8:10" ht="15" customHeight="1">
      <c r="H1212" s="23">
        <v>0.54375000000000007</v>
      </c>
      <c r="I1212" s="23">
        <v>7.8750000000000014E-2</v>
      </c>
      <c r="J1212" s="19">
        <v>7386772366390296</v>
      </c>
    </row>
    <row r="1213" spans="8:10" ht="15" customHeight="1">
      <c r="H1213" s="23">
        <v>0.54375000000000007</v>
      </c>
      <c r="I1213" s="23">
        <v>8.2500000000000018E-2</v>
      </c>
      <c r="J1213" s="19">
        <v>7384598144404264</v>
      </c>
    </row>
    <row r="1214" spans="8:10" ht="15" customHeight="1">
      <c r="H1214" s="23">
        <v>0.54375000000000007</v>
      </c>
      <c r="I1214" s="23">
        <v>8.6250000000000007E-2</v>
      </c>
      <c r="J1214" s="19">
        <v>7382451243284952</v>
      </c>
    </row>
    <row r="1215" spans="8:10" ht="15" customHeight="1">
      <c r="H1215" s="23">
        <v>0.54375000000000007</v>
      </c>
      <c r="I1215" s="23">
        <v>9.0000000000000011E-2</v>
      </c>
      <c r="J1215" s="19">
        <v>7380328571017784</v>
      </c>
    </row>
    <row r="1216" spans="8:10" ht="15" customHeight="1">
      <c r="H1216" s="23">
        <v>0.54375000000000007</v>
      </c>
      <c r="I1216" s="23">
        <v>9.3750000000000014E-2</v>
      </c>
      <c r="J1216" s="19">
        <v>7378233016702776</v>
      </c>
    </row>
    <row r="1217" spans="8:10" ht="15" customHeight="1">
      <c r="H1217" s="23">
        <v>0.54375000000000007</v>
      </c>
      <c r="I1217" s="23">
        <v>9.7500000000000017E-2</v>
      </c>
      <c r="J1217" s="19">
        <v>7376161835225848</v>
      </c>
    </row>
    <row r="1218" spans="8:10" ht="15" customHeight="1">
      <c r="H1218" s="23">
        <v>0.54375000000000007</v>
      </c>
      <c r="I1218" s="23">
        <v>0.10125000000000002</v>
      </c>
      <c r="J1218" s="19">
        <v>7374117614851264</v>
      </c>
    </row>
    <row r="1219" spans="8:10" ht="15" customHeight="1">
      <c r="H1219" s="23">
        <v>0.54375000000000007</v>
      </c>
      <c r="I1219" s="23">
        <v>0.10500000000000001</v>
      </c>
      <c r="J1219" s="19">
        <v>7372097873136328</v>
      </c>
    </row>
    <row r="1220" spans="8:10" ht="15" customHeight="1">
      <c r="H1220" s="23">
        <v>0.54375000000000007</v>
      </c>
      <c r="I1220" s="23">
        <v>0.10875000000000001</v>
      </c>
      <c r="J1220" s="19">
        <v>7370104969672368</v>
      </c>
    </row>
    <row r="1221" spans="8:10" ht="15" customHeight="1">
      <c r="H1221" s="23">
        <v>0.54375000000000007</v>
      </c>
      <c r="I1221" s="23">
        <v>0.11250000000000002</v>
      </c>
      <c r="J1221" s="19">
        <v>7368136621711784</v>
      </c>
    </row>
    <row r="1222" spans="8:10" ht="15" customHeight="1">
      <c r="H1222" s="23">
        <v>0.54375000000000007</v>
      </c>
      <c r="I1222" s="23">
        <v>0.11625000000000002</v>
      </c>
      <c r="J1222" s="19">
        <v>7366195014589768</v>
      </c>
    </row>
    <row r="1223" spans="8:10" ht="15" customHeight="1">
      <c r="H1223" s="23">
        <v>0.54375000000000007</v>
      </c>
      <c r="I1223" s="23">
        <v>0.12000000000000002</v>
      </c>
      <c r="J1223" s="19">
        <v>7364278016271192</v>
      </c>
    </row>
    <row r="1224" spans="8:10" ht="15" customHeight="1">
      <c r="H1224" s="23">
        <v>0.54375000000000007</v>
      </c>
      <c r="I1224" s="23">
        <v>0.12375000000000001</v>
      </c>
      <c r="J1224" s="19">
        <v>7362387679891568</v>
      </c>
    </row>
    <row r="1225" spans="8:10" ht="15" customHeight="1">
      <c r="H1225" s="23">
        <v>0.54375000000000007</v>
      </c>
      <c r="I1225" s="23">
        <v>0.12750000000000003</v>
      </c>
      <c r="J1225" s="19">
        <v>7360521984312432</v>
      </c>
    </row>
    <row r="1226" spans="8:10" ht="15" customHeight="1">
      <c r="H1226" s="23">
        <v>0.54375000000000007</v>
      </c>
      <c r="I1226" s="23">
        <v>0.13125000000000003</v>
      </c>
      <c r="J1226" s="19">
        <v>7358682883933352</v>
      </c>
    </row>
    <row r="1227" spans="8:10" ht="15" customHeight="1">
      <c r="H1227" s="23">
        <v>0.54375000000000007</v>
      </c>
      <c r="I1227" s="23">
        <v>0.13500000000000001</v>
      </c>
      <c r="J1227" s="19">
        <v>7356868435666416</v>
      </c>
    </row>
    <row r="1228" spans="8:10" ht="15" customHeight="1">
      <c r="H1228" s="23">
        <v>0.54375000000000007</v>
      </c>
      <c r="I1228" s="23">
        <v>0.13875000000000001</v>
      </c>
      <c r="J1228" s="19">
        <v>7355080526038616</v>
      </c>
    </row>
    <row r="1229" spans="8:10" ht="15" customHeight="1">
      <c r="H1229" s="23">
        <v>0.54375000000000007</v>
      </c>
      <c r="I1229" s="23">
        <v>0.14250000000000002</v>
      </c>
      <c r="J1229" s="19">
        <v>7353317271380968</v>
      </c>
    </row>
    <row r="1230" spans="8:10" ht="15" customHeight="1">
      <c r="H1230" s="23">
        <v>0.54375000000000007</v>
      </c>
      <c r="I1230" s="23">
        <v>0.14625000000000002</v>
      </c>
      <c r="J1230" s="19">
        <v>7351580544117576</v>
      </c>
    </row>
    <row r="1231" spans="8:10" ht="15" customHeight="1">
      <c r="H1231" s="23">
        <v>0.54375000000000007</v>
      </c>
      <c r="I1231" s="23">
        <v>0.15000000000000002</v>
      </c>
      <c r="J1231" s="19">
        <v>7349868569027448</v>
      </c>
    </row>
    <row r="1232" spans="8:10" ht="15" customHeight="1">
      <c r="H1232" s="23">
        <v>0.56250000000000011</v>
      </c>
      <c r="I1232" s="23">
        <v>0</v>
      </c>
      <c r="J1232" s="19">
        <v>7434684611892960</v>
      </c>
    </row>
    <row r="1233" spans="8:10" ht="15" customHeight="1">
      <c r="H1233" s="23">
        <v>0.56250000000000011</v>
      </c>
      <c r="I1233" s="23">
        <v>3.7500000000000007E-3</v>
      </c>
      <c r="J1233" s="19">
        <v>7435180394491920</v>
      </c>
    </row>
    <row r="1234" spans="8:10" ht="15" customHeight="1">
      <c r="H1234" s="23">
        <v>0.56250000000000011</v>
      </c>
      <c r="I1234" s="23">
        <v>7.5000000000000015E-3</v>
      </c>
      <c r="J1234" s="19">
        <v>7433116718923104</v>
      </c>
    </row>
    <row r="1235" spans="8:10" ht="15" customHeight="1">
      <c r="H1235" s="23">
        <v>0.56250000000000011</v>
      </c>
      <c r="I1235" s="23">
        <v>1.1250000000000001E-2</v>
      </c>
      <c r="J1235" s="19">
        <v>7430700222054912</v>
      </c>
    </row>
    <row r="1236" spans="8:10" ht="15" customHeight="1">
      <c r="H1236" s="23">
        <v>0.56250000000000011</v>
      </c>
      <c r="I1236" s="23">
        <v>1.5000000000000003E-2</v>
      </c>
      <c r="J1236" s="19">
        <v>7428089828077928</v>
      </c>
    </row>
    <row r="1237" spans="8:10" ht="15" customHeight="1">
      <c r="H1237" s="23">
        <v>0.56250000000000011</v>
      </c>
      <c r="I1237" s="23">
        <v>1.8750000000000003E-2</v>
      </c>
      <c r="J1237" s="19">
        <v>7425495679196728</v>
      </c>
    </row>
    <row r="1238" spans="8:10" ht="15" customHeight="1">
      <c r="H1238" s="23">
        <v>0.56250000000000011</v>
      </c>
      <c r="I1238" s="23">
        <v>2.2500000000000003E-2</v>
      </c>
      <c r="J1238" s="19">
        <v>7422899370390256</v>
      </c>
    </row>
    <row r="1239" spans="8:10" ht="15" customHeight="1">
      <c r="H1239" s="23">
        <v>0.56250000000000011</v>
      </c>
      <c r="I1239" s="23">
        <v>2.6250000000000002E-2</v>
      </c>
      <c r="J1239" s="19">
        <v>7420346161568632</v>
      </c>
    </row>
    <row r="1240" spans="8:10" ht="15" customHeight="1">
      <c r="H1240" s="23">
        <v>0.56250000000000011</v>
      </c>
      <c r="I1240" s="23">
        <v>3.0000000000000006E-2</v>
      </c>
      <c r="J1240" s="19">
        <v>7417806274320984</v>
      </c>
    </row>
    <row r="1241" spans="8:10" ht="15" customHeight="1">
      <c r="H1241" s="23">
        <v>0.56250000000000011</v>
      </c>
      <c r="I1241" s="23">
        <v>3.3750000000000002E-2</v>
      </c>
      <c r="J1241" s="19">
        <v>7415301921088144</v>
      </c>
    </row>
    <row r="1242" spans="8:10" ht="15" customHeight="1">
      <c r="H1242" s="23">
        <v>0.56250000000000011</v>
      </c>
      <c r="I1242" s="23">
        <v>3.7500000000000006E-2</v>
      </c>
      <c r="J1242" s="19">
        <v>7412815738427512</v>
      </c>
    </row>
    <row r="1243" spans="8:10" ht="15" customHeight="1">
      <c r="H1243" s="23">
        <v>0.56250000000000011</v>
      </c>
      <c r="I1243" s="23">
        <v>4.1250000000000009E-2</v>
      </c>
      <c r="J1243" s="19">
        <v>7410361692164664</v>
      </c>
    </row>
    <row r="1244" spans="8:10" ht="15" customHeight="1">
      <c r="H1244" s="23">
        <v>0.56250000000000011</v>
      </c>
      <c r="I1244" s="23">
        <v>4.5000000000000005E-2</v>
      </c>
      <c r="J1244" s="19">
        <v>7407928231883584</v>
      </c>
    </row>
    <row r="1245" spans="8:10" ht="15" customHeight="1">
      <c r="H1245" s="23">
        <v>0.56250000000000011</v>
      </c>
      <c r="I1245" s="23">
        <v>4.8750000000000009E-2</v>
      </c>
      <c r="J1245" s="19">
        <v>7405525062849680</v>
      </c>
    </row>
    <row r="1246" spans="8:10" ht="15" customHeight="1">
      <c r="H1246" s="23">
        <v>0.56250000000000011</v>
      </c>
      <c r="I1246" s="23">
        <v>5.2500000000000005E-2</v>
      </c>
      <c r="J1246" s="19">
        <v>7403143854336208</v>
      </c>
    </row>
    <row r="1247" spans="8:10" ht="15" customHeight="1">
      <c r="H1247" s="23">
        <v>0.56250000000000011</v>
      </c>
      <c r="I1247" s="23">
        <v>5.6250000000000008E-2</v>
      </c>
      <c r="J1247" s="19">
        <v>7400791820222712</v>
      </c>
    </row>
    <row r="1248" spans="8:10" ht="15" customHeight="1">
      <c r="H1248" s="23">
        <v>0.56250000000000011</v>
      </c>
      <c r="I1248" s="23">
        <v>6.0000000000000012E-2</v>
      </c>
      <c r="J1248" s="19">
        <v>7398462598126312</v>
      </c>
    </row>
    <row r="1249" spans="8:10" ht="15" customHeight="1">
      <c r="H1249" s="23">
        <v>0.56250000000000011</v>
      </c>
      <c r="I1249" s="23">
        <v>6.3750000000000015E-2</v>
      </c>
      <c r="J1249" s="19">
        <v>7396161821834608</v>
      </c>
    </row>
    <row r="1250" spans="8:10" ht="15" customHeight="1">
      <c r="H1250" s="23">
        <v>0.56250000000000011</v>
      </c>
      <c r="I1250" s="23">
        <v>6.7500000000000004E-2</v>
      </c>
      <c r="J1250" s="19">
        <v>7393884417166072</v>
      </c>
    </row>
    <row r="1251" spans="8:10" ht="15" customHeight="1">
      <c r="H1251" s="23">
        <v>0.56250000000000011</v>
      </c>
      <c r="I1251" s="23">
        <v>7.1250000000000008E-2</v>
      </c>
      <c r="J1251" s="19">
        <v>7391634956115752</v>
      </c>
    </row>
    <row r="1252" spans="8:10" ht="15" customHeight="1">
      <c r="H1252" s="23">
        <v>0.56250000000000011</v>
      </c>
      <c r="I1252" s="23">
        <v>7.5000000000000011E-2</v>
      </c>
      <c r="J1252" s="19">
        <v>7389409250450080</v>
      </c>
    </row>
    <row r="1253" spans="8:10" ht="15" customHeight="1">
      <c r="H1253" s="23">
        <v>0.56250000000000011</v>
      </c>
      <c r="I1253" s="23">
        <v>7.8750000000000014E-2</v>
      </c>
      <c r="J1253" s="19">
        <v>7387211127545856</v>
      </c>
    </row>
    <row r="1254" spans="8:10" ht="15" customHeight="1">
      <c r="H1254" s="23">
        <v>0.56250000000000011</v>
      </c>
      <c r="I1254" s="23">
        <v>8.2500000000000018E-2</v>
      </c>
      <c r="J1254" s="19">
        <v>7385037031400776</v>
      </c>
    </row>
    <row r="1255" spans="8:10" ht="15" customHeight="1">
      <c r="H1255" s="23">
        <v>0.56250000000000011</v>
      </c>
      <c r="I1255" s="23">
        <v>8.6250000000000007E-2</v>
      </c>
      <c r="J1255" s="19">
        <v>7382890250316176</v>
      </c>
    </row>
    <row r="1256" spans="8:10" ht="15" customHeight="1">
      <c r="H1256" s="23">
        <v>0.56250000000000011</v>
      </c>
      <c r="I1256" s="23">
        <v>9.0000000000000011E-2</v>
      </c>
      <c r="J1256" s="19">
        <v>7380767692031608</v>
      </c>
    </row>
    <row r="1257" spans="8:10" ht="15" customHeight="1">
      <c r="H1257" s="23">
        <v>0.56250000000000011</v>
      </c>
      <c r="I1257" s="23">
        <v>9.3750000000000014E-2</v>
      </c>
      <c r="J1257" s="19">
        <v>7378672245381368</v>
      </c>
    </row>
    <row r="1258" spans="8:10" ht="15" customHeight="1">
      <c r="H1258" s="23">
        <v>0.56250000000000011</v>
      </c>
      <c r="I1258" s="23">
        <v>9.7500000000000017E-2</v>
      </c>
      <c r="J1258" s="19">
        <v>7376601165041464</v>
      </c>
    </row>
    <row r="1259" spans="8:10" ht="15" customHeight="1">
      <c r="H1259" s="23">
        <v>0.56250000000000011</v>
      </c>
      <c r="I1259" s="23">
        <v>0.10125000000000002</v>
      </c>
      <c r="J1259" s="19">
        <v>7374557039120144</v>
      </c>
    </row>
    <row r="1260" spans="8:10" ht="15" customHeight="1">
      <c r="H1260" s="23">
        <v>0.56250000000000011</v>
      </c>
      <c r="I1260" s="23">
        <v>0.10500000000000001</v>
      </c>
      <c r="J1260" s="19">
        <v>7372537385190184</v>
      </c>
    </row>
    <row r="1261" spans="8:10" ht="15" customHeight="1">
      <c r="H1261" s="23">
        <v>0.56250000000000011</v>
      </c>
      <c r="I1261" s="23">
        <v>0.10875000000000001</v>
      </c>
      <c r="J1261" s="19">
        <v>7370544563109312</v>
      </c>
    </row>
    <row r="1262" spans="8:10" ht="15" customHeight="1">
      <c r="H1262" s="23">
        <v>0.56250000000000011</v>
      </c>
      <c r="I1262" s="23">
        <v>0.11250000000000002</v>
      </c>
      <c r="J1262" s="19">
        <v>7368576290880832</v>
      </c>
    </row>
    <row r="1263" spans="8:10" ht="15" customHeight="1">
      <c r="H1263" s="23">
        <v>0.56250000000000011</v>
      </c>
      <c r="I1263" s="23">
        <v>0.11625000000000002</v>
      </c>
      <c r="J1263" s="19">
        <v>7366634755341104</v>
      </c>
    </row>
    <row r="1264" spans="8:10" ht="15" customHeight="1">
      <c r="H1264" s="23">
        <v>0.56250000000000011</v>
      </c>
      <c r="I1264" s="23">
        <v>0.12000000000000002</v>
      </c>
      <c r="J1264" s="19">
        <v>7364717827193216</v>
      </c>
    </row>
    <row r="1265" spans="8:10" ht="15" customHeight="1">
      <c r="H1265" s="23">
        <v>0.56250000000000011</v>
      </c>
      <c r="I1265" s="23">
        <v>0.12375000000000001</v>
      </c>
      <c r="J1265" s="19">
        <v>7362827564141704</v>
      </c>
    </row>
    <row r="1266" spans="8:10" ht="15" customHeight="1">
      <c r="H1266" s="23">
        <v>0.56250000000000011</v>
      </c>
      <c r="I1266" s="23">
        <v>0.12750000000000003</v>
      </c>
      <c r="J1266" s="19">
        <v>7360961952249320</v>
      </c>
    </row>
    <row r="1267" spans="8:10" ht="15" customHeight="1">
      <c r="H1267" s="23">
        <v>0.56250000000000011</v>
      </c>
      <c r="I1267" s="23">
        <v>0.13125000000000003</v>
      </c>
      <c r="J1267" s="19">
        <v>7359122956381456</v>
      </c>
    </row>
    <row r="1268" spans="8:10" ht="15" customHeight="1">
      <c r="H1268" s="23">
        <v>0.56250000000000011</v>
      </c>
      <c r="I1268" s="23">
        <v>0.13500000000000001</v>
      </c>
      <c r="J1268" s="19">
        <v>7357308647013128</v>
      </c>
    </row>
    <row r="1269" spans="8:10" ht="15" customHeight="1">
      <c r="H1269" s="23">
        <v>0.56250000000000011</v>
      </c>
      <c r="I1269" s="23">
        <v>0.13875000000000001</v>
      </c>
      <c r="J1269" s="19">
        <v>7355520924205544</v>
      </c>
    </row>
    <row r="1270" spans="8:10" ht="15" customHeight="1">
      <c r="H1270" s="23">
        <v>0.56250000000000011</v>
      </c>
      <c r="I1270" s="23">
        <v>0.14250000000000002</v>
      </c>
      <c r="J1270" s="19">
        <v>7353757906928696</v>
      </c>
    </row>
    <row r="1271" spans="8:10" ht="15" customHeight="1">
      <c r="H1271" s="23">
        <v>0.56250000000000011</v>
      </c>
      <c r="I1271" s="23">
        <v>0.14625000000000002</v>
      </c>
      <c r="J1271" s="19">
        <v>7352021429335840</v>
      </c>
    </row>
    <row r="1272" spans="8:10" ht="15" customHeight="1">
      <c r="H1272" s="23">
        <v>0.56250000000000011</v>
      </c>
      <c r="I1272" s="23">
        <v>0.15000000000000002</v>
      </c>
      <c r="J1272" s="19">
        <v>7350309562941336</v>
      </c>
    </row>
    <row r="1273" spans="8:10" ht="15" customHeight="1">
      <c r="H1273" s="23">
        <v>0.58125000000000004</v>
      </c>
      <c r="I1273" s="23">
        <v>0</v>
      </c>
      <c r="J1273" s="19">
        <v>7435076801558792</v>
      </c>
    </row>
    <row r="1274" spans="8:10" ht="15" customHeight="1">
      <c r="H1274" s="23">
        <v>0.58125000000000004</v>
      </c>
      <c r="I1274" s="23">
        <v>3.7500000000000007E-3</v>
      </c>
      <c r="J1274" s="19">
        <v>7435572857951856</v>
      </c>
    </row>
    <row r="1275" spans="8:10" ht="15" customHeight="1">
      <c r="H1275" s="23">
        <v>0.58125000000000004</v>
      </c>
      <c r="I1275" s="23">
        <v>7.5000000000000015E-3</v>
      </c>
      <c r="J1275" s="19">
        <v>7433509450717080</v>
      </c>
    </row>
    <row r="1276" spans="8:10" ht="15" customHeight="1">
      <c r="H1276" s="23">
        <v>0.58125000000000004</v>
      </c>
      <c r="I1276" s="23">
        <v>1.1250000000000001E-2</v>
      </c>
      <c r="J1276" s="19">
        <v>7431093209823328</v>
      </c>
    </row>
    <row r="1277" spans="8:10" ht="15" customHeight="1">
      <c r="H1277" s="23">
        <v>0.58125000000000004</v>
      </c>
      <c r="I1277" s="23">
        <v>1.5000000000000003E-2</v>
      </c>
      <c r="J1277" s="19">
        <v>7428483060026768</v>
      </c>
    </row>
    <row r="1278" spans="8:10" ht="15" customHeight="1">
      <c r="H1278" s="23">
        <v>0.58125000000000004</v>
      </c>
      <c r="I1278" s="23">
        <v>1.8750000000000003E-2</v>
      </c>
      <c r="J1278" s="19">
        <v>7425889143736712</v>
      </c>
    </row>
    <row r="1279" spans="8:10" ht="15" customHeight="1">
      <c r="H1279" s="23">
        <v>0.58125000000000004</v>
      </c>
      <c r="I1279" s="23">
        <v>2.2500000000000003E-2</v>
      </c>
      <c r="J1279" s="19">
        <v>7423293056860528</v>
      </c>
    </row>
    <row r="1280" spans="8:10" ht="15" customHeight="1">
      <c r="H1280" s="23">
        <v>0.58125000000000004</v>
      </c>
      <c r="I1280" s="23">
        <v>2.6250000000000002E-2</v>
      </c>
      <c r="J1280" s="19">
        <v>7420740059883032</v>
      </c>
    </row>
    <row r="1281" spans="8:10" ht="15" customHeight="1">
      <c r="H1281" s="23">
        <v>0.58125000000000004</v>
      </c>
      <c r="I1281" s="23">
        <v>3.0000000000000006E-2</v>
      </c>
      <c r="J1281" s="19">
        <v>7418200375149576</v>
      </c>
    </row>
    <row r="1282" spans="8:10" ht="15" customHeight="1">
      <c r="H1282" s="23">
        <v>0.58125000000000004</v>
      </c>
      <c r="I1282" s="23">
        <v>3.3750000000000002E-2</v>
      </c>
      <c r="J1282" s="19">
        <v>7415696215570448</v>
      </c>
    </row>
    <row r="1283" spans="8:10" ht="15" customHeight="1">
      <c r="H1283" s="23">
        <v>0.58125000000000004</v>
      </c>
      <c r="I1283" s="23">
        <v>3.7500000000000006E-2</v>
      </c>
      <c r="J1283" s="19">
        <v>7413210218239384</v>
      </c>
    </row>
    <row r="1284" spans="8:10" ht="15" customHeight="1">
      <c r="H1284" s="23">
        <v>0.58125000000000004</v>
      </c>
      <c r="I1284" s="23">
        <v>4.1250000000000009E-2</v>
      </c>
      <c r="J1284" s="19">
        <v>7410756349324288</v>
      </c>
    </row>
    <row r="1285" spans="8:10" ht="15" customHeight="1">
      <c r="H1285" s="23">
        <v>0.58125000000000004</v>
      </c>
      <c r="I1285" s="23">
        <v>4.5000000000000005E-2</v>
      </c>
      <c r="J1285" s="19">
        <v>7408323058777712</v>
      </c>
    </row>
    <row r="1286" spans="8:10" ht="15" customHeight="1">
      <c r="H1286" s="23">
        <v>0.58125000000000004</v>
      </c>
      <c r="I1286" s="23">
        <v>4.8750000000000009E-2</v>
      </c>
      <c r="J1286" s="19">
        <v>7405920052088856</v>
      </c>
    </row>
    <row r="1287" spans="8:10" ht="15" customHeight="1">
      <c r="H1287" s="23">
        <v>0.58125000000000004</v>
      </c>
      <c r="I1287" s="23">
        <v>5.2500000000000005E-2</v>
      </c>
      <c r="J1287" s="19">
        <v>7403538998761904</v>
      </c>
    </row>
    <row r="1288" spans="8:10" ht="15" customHeight="1">
      <c r="H1288" s="23">
        <v>0.58125000000000004</v>
      </c>
      <c r="I1288" s="23">
        <v>5.6250000000000008E-2</v>
      </c>
      <c r="J1288" s="19">
        <v>7401187112792744</v>
      </c>
    </row>
    <row r="1289" spans="8:10" ht="15" customHeight="1">
      <c r="H1289" s="23">
        <v>0.58125000000000004</v>
      </c>
      <c r="I1289" s="23">
        <v>6.0000000000000012E-2</v>
      </c>
      <c r="J1289" s="19">
        <v>7398858031913072</v>
      </c>
    </row>
    <row r="1290" spans="8:10" ht="15" customHeight="1">
      <c r="H1290" s="23">
        <v>0.58125000000000004</v>
      </c>
      <c r="I1290" s="23">
        <v>6.3750000000000015E-2</v>
      </c>
      <c r="J1290" s="19">
        <v>7396557389929584</v>
      </c>
    </row>
    <row r="1291" spans="8:10" ht="15" customHeight="1">
      <c r="H1291" s="23">
        <v>0.58125000000000004</v>
      </c>
      <c r="I1291" s="23">
        <v>6.7500000000000004E-2</v>
      </c>
      <c r="J1291" s="19">
        <v>7394280112673216</v>
      </c>
    </row>
    <row r="1292" spans="8:10" ht="15" customHeight="1">
      <c r="H1292" s="23">
        <v>0.58125000000000004</v>
      </c>
      <c r="I1292" s="23">
        <v>7.1250000000000008E-2</v>
      </c>
      <c r="J1292" s="19">
        <v>7392030772068952</v>
      </c>
    </row>
    <row r="1293" spans="8:10" ht="15" customHeight="1">
      <c r="H1293" s="23">
        <v>0.58125000000000004</v>
      </c>
      <c r="I1293" s="23">
        <v>7.5000000000000011E-2</v>
      </c>
      <c r="J1293" s="19">
        <v>7389805179802176</v>
      </c>
    </row>
    <row r="1294" spans="8:10" ht="15" customHeight="1">
      <c r="H1294" s="23">
        <v>0.58125000000000004</v>
      </c>
      <c r="I1294" s="23">
        <v>7.8750000000000014E-2</v>
      </c>
      <c r="J1294" s="19">
        <v>7387607163093312</v>
      </c>
    </row>
    <row r="1295" spans="8:10" ht="15" customHeight="1">
      <c r="H1295" s="23">
        <v>0.58125000000000004</v>
      </c>
      <c r="I1295" s="23">
        <v>8.2500000000000018E-2</v>
      </c>
      <c r="J1295" s="19">
        <v>7385433165765984</v>
      </c>
    </row>
    <row r="1296" spans="8:10" ht="15" customHeight="1">
      <c r="H1296" s="23">
        <v>0.58125000000000004</v>
      </c>
      <c r="I1296" s="23">
        <v>8.6250000000000007E-2</v>
      </c>
      <c r="J1296" s="19">
        <v>7383286475870904</v>
      </c>
    </row>
    <row r="1297" spans="8:10" ht="15" customHeight="1">
      <c r="H1297" s="23">
        <v>0.58125000000000004</v>
      </c>
      <c r="I1297" s="23">
        <v>9.0000000000000011E-2</v>
      </c>
      <c r="J1297" s="19">
        <v>7381164000862704</v>
      </c>
    </row>
    <row r="1298" spans="8:10" ht="15" customHeight="1">
      <c r="H1298" s="23">
        <v>0.58125000000000004</v>
      </c>
      <c r="I1298" s="23">
        <v>9.3750000000000014E-2</v>
      </c>
      <c r="J1298" s="19">
        <v>7379068629195248</v>
      </c>
    </row>
    <row r="1299" spans="8:10" ht="15" customHeight="1">
      <c r="H1299" s="23">
        <v>0.58125000000000004</v>
      </c>
      <c r="I1299" s="23">
        <v>9.7500000000000017E-2</v>
      </c>
      <c r="J1299" s="19">
        <v>7376997615086096</v>
      </c>
    </row>
    <row r="1300" spans="8:10" ht="15" customHeight="1">
      <c r="H1300" s="23">
        <v>0.58125000000000004</v>
      </c>
      <c r="I1300" s="23">
        <v>0.10125000000000002</v>
      </c>
      <c r="J1300" s="19">
        <v>7374953546022224</v>
      </c>
    </row>
    <row r="1301" spans="8:10" ht="15" customHeight="1">
      <c r="H1301" s="23">
        <v>0.58125000000000004</v>
      </c>
      <c r="I1301" s="23">
        <v>0.10500000000000001</v>
      </c>
      <c r="J1301" s="19">
        <v>7372933938757632</v>
      </c>
    </row>
    <row r="1302" spans="8:10" ht="15" customHeight="1">
      <c r="H1302" s="23">
        <v>0.58125000000000004</v>
      </c>
      <c r="I1302" s="23">
        <v>0.10875000000000001</v>
      </c>
      <c r="J1302" s="19">
        <v>7370941151978360</v>
      </c>
    </row>
    <row r="1303" spans="8:10" ht="15" customHeight="1">
      <c r="H1303" s="23">
        <v>0.58125000000000004</v>
      </c>
      <c r="I1303" s="23">
        <v>0.11250000000000002</v>
      </c>
      <c r="J1303" s="19">
        <v>7368972902006184</v>
      </c>
    </row>
    <row r="1304" spans="8:10" ht="15" customHeight="1">
      <c r="H1304" s="23">
        <v>0.58125000000000004</v>
      </c>
      <c r="I1304" s="23">
        <v>0.11625000000000002</v>
      </c>
      <c r="J1304" s="19">
        <v>7367031373155224</v>
      </c>
    </row>
    <row r="1305" spans="8:10" ht="15" customHeight="1">
      <c r="H1305" s="23">
        <v>0.58125000000000004</v>
      </c>
      <c r="I1305" s="23">
        <v>0.12000000000000002</v>
      </c>
      <c r="J1305" s="19">
        <v>7365114432356912</v>
      </c>
    </row>
    <row r="1306" spans="8:10" ht="15" customHeight="1">
      <c r="H1306" s="23">
        <v>0.58125000000000004</v>
      </c>
      <c r="I1306" s="23">
        <v>0.12375000000000001</v>
      </c>
      <c r="J1306" s="19">
        <v>7363224131648352</v>
      </c>
    </row>
    <row r="1307" spans="8:10" ht="15" customHeight="1">
      <c r="H1307" s="23">
        <v>0.58125000000000004</v>
      </c>
      <c r="I1307" s="23">
        <v>0.12750000000000003</v>
      </c>
      <c r="J1307" s="19">
        <v>7361358448811184</v>
      </c>
    </row>
    <row r="1308" spans="8:10" ht="15" customHeight="1">
      <c r="H1308" s="23">
        <v>0.58125000000000004</v>
      </c>
      <c r="I1308" s="23">
        <v>0.13125000000000003</v>
      </c>
      <c r="J1308" s="19">
        <v>7359519337133160</v>
      </c>
    </row>
    <row r="1309" spans="8:10" ht="15" customHeight="1">
      <c r="H1309" s="23">
        <v>0.58125000000000004</v>
      </c>
      <c r="I1309" s="23">
        <v>0.13500000000000001</v>
      </c>
      <c r="J1309" s="19">
        <v>7357704852430904</v>
      </c>
    </row>
    <row r="1310" spans="8:10" ht="15" customHeight="1">
      <c r="H1310" s="23">
        <v>0.58125000000000004</v>
      </c>
      <c r="I1310" s="23">
        <v>0.13875000000000001</v>
      </c>
      <c r="J1310" s="19">
        <v>7355916879983504</v>
      </c>
    </row>
    <row r="1311" spans="8:10" ht="15" customHeight="1">
      <c r="H1311" s="23">
        <v>0.58125000000000004</v>
      </c>
      <c r="I1311" s="23">
        <v>0.14250000000000002</v>
      </c>
      <c r="J1311" s="19">
        <v>7354153534425312</v>
      </c>
    </row>
    <row r="1312" spans="8:10" ht="15" customHeight="1">
      <c r="H1312" s="23">
        <v>0.58125000000000004</v>
      </c>
      <c r="I1312" s="23">
        <v>0.14625000000000002</v>
      </c>
      <c r="J1312" s="19">
        <v>7352416685012568</v>
      </c>
    </row>
    <row r="1313" spans="8:10" ht="15" customHeight="1">
      <c r="H1313" s="23">
        <v>0.58125000000000004</v>
      </c>
      <c r="I1313" s="23">
        <v>0.15000000000000002</v>
      </c>
      <c r="J1313" s="19">
        <v>7350704549576760</v>
      </c>
    </row>
    <row r="1314" spans="8:10" ht="15" customHeight="1">
      <c r="H1314" s="23">
        <v>0.60000000000000009</v>
      </c>
      <c r="I1314" s="23">
        <v>0</v>
      </c>
      <c r="J1314" s="19">
        <v>7435426730431576</v>
      </c>
    </row>
    <row r="1315" spans="8:10" ht="15" customHeight="1">
      <c r="H1315" s="23">
        <v>0.60000000000000009</v>
      </c>
      <c r="I1315" s="23">
        <v>3.7500000000000007E-3</v>
      </c>
      <c r="J1315" s="19">
        <v>7435923057640784</v>
      </c>
    </row>
    <row r="1316" spans="8:10" ht="15" customHeight="1">
      <c r="H1316" s="23">
        <v>0.60000000000000009</v>
      </c>
      <c r="I1316" s="23">
        <v>7.5000000000000015E-3</v>
      </c>
      <c r="J1316" s="19">
        <v>7433859915285096</v>
      </c>
    </row>
    <row r="1317" spans="8:10" ht="15" customHeight="1">
      <c r="H1317" s="23">
        <v>0.60000000000000009</v>
      </c>
      <c r="I1317" s="23">
        <v>1.1250000000000001E-2</v>
      </c>
      <c r="J1317" s="19">
        <v>7431443926751048</v>
      </c>
    </row>
    <row r="1318" spans="8:10" ht="15" customHeight="1">
      <c r="H1318" s="23">
        <v>0.60000000000000009</v>
      </c>
      <c r="I1318" s="23">
        <v>1.5000000000000003E-2</v>
      </c>
      <c r="J1318" s="19">
        <v>7428834017058560</v>
      </c>
    </row>
    <row r="1319" spans="8:10" ht="15" customHeight="1">
      <c r="H1319" s="23">
        <v>0.60000000000000009</v>
      </c>
      <c r="I1319" s="23">
        <v>1.8750000000000003E-2</v>
      </c>
      <c r="J1319" s="19">
        <v>7426240328664752</v>
      </c>
    </row>
    <row r="1320" spans="8:10" ht="15" customHeight="1">
      <c r="H1320" s="23">
        <v>0.60000000000000009</v>
      </c>
      <c r="I1320" s="23">
        <v>2.2500000000000003E-2</v>
      </c>
      <c r="J1320" s="19">
        <v>7423644458230912</v>
      </c>
    </row>
    <row r="1321" spans="8:10" ht="15" customHeight="1">
      <c r="H1321" s="23">
        <v>0.60000000000000009</v>
      </c>
      <c r="I1321" s="23">
        <v>2.6250000000000002E-2</v>
      </c>
      <c r="J1321" s="19">
        <v>7421091666718472</v>
      </c>
    </row>
    <row r="1322" spans="8:10" ht="15" customHeight="1">
      <c r="H1322" s="23">
        <v>0.60000000000000009</v>
      </c>
      <c r="I1322" s="23">
        <v>3.0000000000000006E-2</v>
      </c>
      <c r="J1322" s="19">
        <v>7418552177133768</v>
      </c>
    </row>
    <row r="1323" spans="8:10" ht="15" customHeight="1">
      <c r="H1323" s="23">
        <v>0.60000000000000009</v>
      </c>
      <c r="I1323" s="23">
        <v>3.3750000000000002E-2</v>
      </c>
      <c r="J1323" s="19">
        <v>7416048202809232</v>
      </c>
    </row>
    <row r="1324" spans="8:10" ht="15" customHeight="1">
      <c r="H1324" s="23">
        <v>0.60000000000000009</v>
      </c>
      <c r="I1324" s="23">
        <v>3.7500000000000006E-2</v>
      </c>
      <c r="J1324" s="19">
        <v>7413562381329464</v>
      </c>
    </row>
    <row r="1325" spans="8:10" ht="15" customHeight="1">
      <c r="H1325" s="23">
        <v>0.60000000000000009</v>
      </c>
      <c r="I1325" s="23">
        <v>4.1250000000000009E-2</v>
      </c>
      <c r="J1325" s="19">
        <v>7411108679188872</v>
      </c>
    </row>
    <row r="1326" spans="8:10" ht="15" customHeight="1">
      <c r="H1326" s="23">
        <v>0.60000000000000009</v>
      </c>
      <c r="I1326" s="23">
        <v>4.5000000000000005E-2</v>
      </c>
      <c r="J1326" s="19">
        <v>7408675546694136</v>
      </c>
    </row>
    <row r="1327" spans="8:10" ht="15" customHeight="1">
      <c r="H1327" s="23">
        <v>0.60000000000000009</v>
      </c>
      <c r="I1327" s="23">
        <v>4.8750000000000009E-2</v>
      </c>
      <c r="J1327" s="19">
        <v>7406272689563624</v>
      </c>
    </row>
    <row r="1328" spans="8:10" ht="15" customHeight="1">
      <c r="H1328" s="23">
        <v>0.60000000000000009</v>
      </c>
      <c r="I1328" s="23">
        <v>5.2500000000000005E-2</v>
      </c>
      <c r="J1328" s="19">
        <v>7403891777539960</v>
      </c>
    </row>
    <row r="1329" spans="8:10" ht="15" customHeight="1">
      <c r="H1329" s="23">
        <v>0.60000000000000009</v>
      </c>
      <c r="I1329" s="23">
        <v>5.6250000000000008E-2</v>
      </c>
      <c r="J1329" s="19">
        <v>7401540024756576</v>
      </c>
    </row>
    <row r="1330" spans="8:10" ht="15" customHeight="1">
      <c r="H1330" s="23">
        <v>0.60000000000000009</v>
      </c>
      <c r="I1330" s="23">
        <v>6.0000000000000012E-2</v>
      </c>
      <c r="J1330" s="19">
        <v>7399211069081680</v>
      </c>
    </row>
    <row r="1331" spans="8:10" ht="15" customHeight="1">
      <c r="H1331" s="23">
        <v>0.60000000000000009</v>
      </c>
      <c r="I1331" s="23">
        <v>6.3750000000000015E-2</v>
      </c>
      <c r="J1331" s="19">
        <v>7396910544375288</v>
      </c>
    </row>
    <row r="1332" spans="8:10" ht="15" customHeight="1">
      <c r="H1332" s="23">
        <v>0.60000000000000009</v>
      </c>
      <c r="I1332" s="23">
        <v>6.7500000000000004E-2</v>
      </c>
      <c r="J1332" s="19">
        <v>7394633376515408</v>
      </c>
    </row>
    <row r="1333" spans="8:10" ht="15" customHeight="1">
      <c r="H1333" s="23">
        <v>0.60000000000000009</v>
      </c>
      <c r="I1333" s="23">
        <v>7.1250000000000008E-2</v>
      </c>
      <c r="J1333" s="19">
        <v>7392384137403080</v>
      </c>
    </row>
    <row r="1334" spans="8:10" ht="15" customHeight="1">
      <c r="H1334" s="23">
        <v>0.60000000000000009</v>
      </c>
      <c r="I1334" s="23">
        <v>7.5000000000000011E-2</v>
      </c>
      <c r="J1334" s="19">
        <v>7390158638691512</v>
      </c>
    </row>
    <row r="1335" spans="8:10" ht="15" customHeight="1">
      <c r="H1335" s="23">
        <v>0.60000000000000009</v>
      </c>
      <c r="I1335" s="23">
        <v>7.8750000000000014E-2</v>
      </c>
      <c r="J1335" s="19">
        <v>7387960707508976</v>
      </c>
    </row>
    <row r="1336" spans="8:10" ht="15" customHeight="1">
      <c r="H1336" s="23">
        <v>0.60000000000000009</v>
      </c>
      <c r="I1336" s="23">
        <v>8.2500000000000018E-2</v>
      </c>
      <c r="J1336" s="19">
        <v>7385786787581048</v>
      </c>
    </row>
    <row r="1337" spans="8:10" ht="15" customHeight="1">
      <c r="H1337" s="23">
        <v>0.60000000000000009</v>
      </c>
      <c r="I1337" s="23">
        <v>8.6250000000000007E-2</v>
      </c>
      <c r="J1337" s="19">
        <v>7383640166813504</v>
      </c>
    </row>
    <row r="1338" spans="8:10" ht="15" customHeight="1">
      <c r="H1338" s="23">
        <v>0.60000000000000009</v>
      </c>
      <c r="I1338" s="23">
        <v>9.0000000000000011E-2</v>
      </c>
      <c r="J1338" s="19">
        <v>7381517752522112</v>
      </c>
    </row>
    <row r="1339" spans="8:10" ht="15" customHeight="1">
      <c r="H1339" s="23">
        <v>0.60000000000000009</v>
      </c>
      <c r="I1339" s="23">
        <v>9.3750000000000014E-2</v>
      </c>
      <c r="J1339" s="19">
        <v>7379422433002088</v>
      </c>
    </row>
    <row r="1340" spans="8:10" ht="15" customHeight="1">
      <c r="H1340" s="23">
        <v>0.60000000000000009</v>
      </c>
      <c r="I1340" s="23">
        <v>9.7500000000000017E-2</v>
      </c>
      <c r="J1340" s="19">
        <v>7377351462356224</v>
      </c>
    </row>
    <row r="1341" spans="8:10" ht="15" customHeight="1">
      <c r="H1341" s="23">
        <v>0.60000000000000009</v>
      </c>
      <c r="I1341" s="23">
        <v>0.10125000000000002</v>
      </c>
      <c r="J1341" s="19">
        <v>7375307428006360</v>
      </c>
    </row>
    <row r="1342" spans="8:10" ht="15" customHeight="1">
      <c r="H1342" s="23">
        <v>0.60000000000000009</v>
      </c>
      <c r="I1342" s="23">
        <v>0.10500000000000001</v>
      </c>
      <c r="J1342" s="19">
        <v>7373287846796072</v>
      </c>
    </row>
    <row r="1343" spans="8:10" ht="15" customHeight="1">
      <c r="H1343" s="23">
        <v>0.60000000000000009</v>
      </c>
      <c r="I1343" s="23">
        <v>0.10875000000000001</v>
      </c>
      <c r="J1343" s="19">
        <v>7371295077736656</v>
      </c>
    </row>
    <row r="1344" spans="8:10" ht="15" customHeight="1">
      <c r="H1344" s="23">
        <v>0.60000000000000009</v>
      </c>
      <c r="I1344" s="23">
        <v>0.11250000000000002</v>
      </c>
      <c r="J1344" s="19">
        <v>7369326837926928</v>
      </c>
    </row>
    <row r="1345" spans="8:10" ht="15" customHeight="1">
      <c r="H1345" s="23">
        <v>0.60000000000000009</v>
      </c>
      <c r="I1345" s="23">
        <v>0.11625000000000002</v>
      </c>
      <c r="J1345" s="19">
        <v>7367385313164632</v>
      </c>
    </row>
    <row r="1346" spans="8:10" ht="15" customHeight="1">
      <c r="H1346" s="23">
        <v>0.60000000000000009</v>
      </c>
      <c r="I1346" s="23">
        <v>0.12000000000000002</v>
      </c>
      <c r="J1346" s="19">
        <v>7365468373027720</v>
      </c>
    </row>
    <row r="1347" spans="8:10" ht="15" customHeight="1">
      <c r="H1347" s="23">
        <v>0.60000000000000009</v>
      </c>
      <c r="I1347" s="23">
        <v>0.12375000000000001</v>
      </c>
      <c r="J1347" s="19">
        <v>7363578073926360</v>
      </c>
    </row>
    <row r="1348" spans="8:10" ht="15" customHeight="1">
      <c r="H1348" s="23">
        <v>0.60000000000000009</v>
      </c>
      <c r="I1348" s="23">
        <v>0.12750000000000003</v>
      </c>
      <c r="J1348" s="19">
        <v>7361712400492616</v>
      </c>
    </row>
    <row r="1349" spans="8:10" ht="15" customHeight="1">
      <c r="H1349" s="23">
        <v>0.60000000000000009</v>
      </c>
      <c r="I1349" s="23">
        <v>0.13125000000000003</v>
      </c>
      <c r="J1349" s="19">
        <v>7359873315944256</v>
      </c>
    </row>
    <row r="1350" spans="8:10" ht="15" customHeight="1">
      <c r="H1350" s="23">
        <v>0.60000000000000009</v>
      </c>
      <c r="I1350" s="23">
        <v>0.13500000000000001</v>
      </c>
      <c r="J1350" s="19">
        <v>7358058888946048</v>
      </c>
    </row>
    <row r="1351" spans="8:10" ht="15" customHeight="1">
      <c r="H1351" s="23">
        <v>0.60000000000000009</v>
      </c>
      <c r="I1351" s="23">
        <v>0.13875000000000001</v>
      </c>
      <c r="J1351" s="19">
        <v>7356271017608704</v>
      </c>
    </row>
    <row r="1352" spans="8:10" ht="15" customHeight="1">
      <c r="H1352" s="23">
        <v>0.60000000000000009</v>
      </c>
      <c r="I1352" s="23">
        <v>0.14250000000000002</v>
      </c>
      <c r="J1352" s="19">
        <v>7354507819156632</v>
      </c>
    </row>
    <row r="1353" spans="8:10" ht="15" customHeight="1">
      <c r="H1353" s="23">
        <v>0.60000000000000009</v>
      </c>
      <c r="I1353" s="23">
        <v>0.14625000000000002</v>
      </c>
      <c r="J1353" s="19">
        <v>7352771126961320</v>
      </c>
    </row>
    <row r="1354" spans="8:10" ht="15" customHeight="1">
      <c r="H1354" s="23">
        <v>0.60000000000000009</v>
      </c>
      <c r="I1354" s="23">
        <v>0.15000000000000002</v>
      </c>
      <c r="J1354" s="19">
        <v>7351059014795560</v>
      </c>
    </row>
    <row r="1355" spans="8:10" ht="15" customHeight="1">
      <c r="H1355" s="23">
        <v>0.61875000000000013</v>
      </c>
      <c r="I1355" s="23">
        <v>0</v>
      </c>
      <c r="J1355" s="19">
        <v>7435734834805912</v>
      </c>
    </row>
    <row r="1356" spans="8:10" ht="15" customHeight="1">
      <c r="H1356" s="23">
        <v>0.61875000000000013</v>
      </c>
      <c r="I1356" s="23">
        <v>3.7500000000000007E-3</v>
      </c>
      <c r="J1356" s="19">
        <v>7436231406248424</v>
      </c>
    </row>
    <row r="1357" spans="8:10" ht="15" customHeight="1">
      <c r="H1357" s="23">
        <v>0.61875000000000013</v>
      </c>
      <c r="I1357" s="23">
        <v>7.5000000000000015E-3</v>
      </c>
      <c r="J1357" s="19">
        <v>7434168502698800</v>
      </c>
    </row>
    <row r="1358" spans="8:10" ht="15" customHeight="1">
      <c r="H1358" s="23">
        <v>0.61875000000000013</v>
      </c>
      <c r="I1358" s="23">
        <v>1.1250000000000001E-2</v>
      </c>
      <c r="J1358" s="19">
        <v>7431752741811848</v>
      </c>
    </row>
    <row r="1359" spans="8:10" ht="15" customHeight="1">
      <c r="H1359" s="23">
        <v>0.61875000000000013</v>
      </c>
      <c r="I1359" s="23">
        <v>1.5000000000000003E-2</v>
      </c>
      <c r="J1359" s="19">
        <v>7429143048808168</v>
      </c>
    </row>
    <row r="1360" spans="8:10" ht="15" customHeight="1">
      <c r="H1360" s="23">
        <v>0.61875000000000013</v>
      </c>
      <c r="I1360" s="23">
        <v>1.8750000000000003E-2</v>
      </c>
      <c r="J1360" s="19">
        <v>7426549566102488</v>
      </c>
    </row>
    <row r="1361" spans="8:10" ht="15" customHeight="1">
      <c r="H1361" s="23">
        <v>0.61875000000000013</v>
      </c>
      <c r="I1361" s="23">
        <v>2.2500000000000003E-2</v>
      </c>
      <c r="J1361" s="19">
        <v>7423953890921728</v>
      </c>
    </row>
    <row r="1362" spans="8:10" ht="15" customHeight="1">
      <c r="H1362" s="23">
        <v>0.61875000000000013</v>
      </c>
      <c r="I1362" s="23">
        <v>2.6250000000000002E-2</v>
      </c>
      <c r="J1362" s="19">
        <v>7421401284546208</v>
      </c>
    </row>
    <row r="1363" spans="8:10" ht="15" customHeight="1">
      <c r="H1363" s="23">
        <v>0.61875000000000013</v>
      </c>
      <c r="I1363" s="23">
        <v>3.0000000000000006E-2</v>
      </c>
      <c r="J1363" s="19">
        <v>7418861970472304</v>
      </c>
    </row>
    <row r="1364" spans="8:10" ht="15" customHeight="1">
      <c r="H1364" s="23">
        <v>0.61875000000000013</v>
      </c>
      <c r="I1364" s="23">
        <v>3.3750000000000002E-2</v>
      </c>
      <c r="J1364" s="19">
        <v>7416358162321064</v>
      </c>
    </row>
    <row r="1365" spans="8:10" ht="15" customHeight="1">
      <c r="H1365" s="23">
        <v>0.61875000000000013</v>
      </c>
      <c r="I1365" s="23">
        <v>3.7500000000000006E-2</v>
      </c>
      <c r="J1365" s="19">
        <v>7413872498038824</v>
      </c>
    </row>
    <row r="1366" spans="8:10" ht="15" customHeight="1">
      <c r="H1366" s="23">
        <v>0.61875000000000013</v>
      </c>
      <c r="I1366" s="23">
        <v>4.1250000000000009E-2</v>
      </c>
      <c r="J1366" s="19">
        <v>7411418944347128</v>
      </c>
    </row>
    <row r="1367" spans="8:10" ht="15" customHeight="1">
      <c r="H1367" s="23">
        <v>0.61875000000000013</v>
      </c>
      <c r="I1367" s="23">
        <v>4.5000000000000005E-2</v>
      </c>
      <c r="J1367" s="19">
        <v>7408985951815408</v>
      </c>
    </row>
    <row r="1368" spans="8:10" ht="15" customHeight="1">
      <c r="H1368" s="23">
        <v>0.61875000000000013</v>
      </c>
      <c r="I1368" s="23">
        <v>4.8750000000000009E-2</v>
      </c>
      <c r="J1368" s="19">
        <v>7406583226323352</v>
      </c>
    </row>
    <row r="1369" spans="8:10" ht="15" customHeight="1">
      <c r="H1369" s="23">
        <v>0.61875000000000013</v>
      </c>
      <c r="I1369" s="23">
        <v>5.2500000000000005E-2</v>
      </c>
      <c r="J1369" s="19">
        <v>7404202437791904</v>
      </c>
    </row>
    <row r="1370" spans="8:10" ht="15" customHeight="1">
      <c r="H1370" s="23">
        <v>0.61875000000000013</v>
      </c>
      <c r="I1370" s="23">
        <v>5.6250000000000008E-2</v>
      </c>
      <c r="J1370" s="19">
        <v>7401850800451008</v>
      </c>
    </row>
    <row r="1371" spans="8:10" ht="15" customHeight="1">
      <c r="H1371" s="23">
        <v>0.61875000000000013</v>
      </c>
      <c r="I1371" s="23">
        <v>6.0000000000000012E-2</v>
      </c>
      <c r="J1371" s="19">
        <v>7399521952271784</v>
      </c>
    </row>
    <row r="1372" spans="8:10" ht="15" customHeight="1">
      <c r="H1372" s="23">
        <v>0.61875000000000013</v>
      </c>
      <c r="I1372" s="23">
        <v>6.3750000000000015E-2</v>
      </c>
      <c r="J1372" s="19">
        <v>7397221527148280</v>
      </c>
    </row>
    <row r="1373" spans="8:10" ht="15" customHeight="1">
      <c r="H1373" s="23">
        <v>0.61875000000000013</v>
      </c>
      <c r="I1373" s="23">
        <v>6.7500000000000004E-2</v>
      </c>
      <c r="J1373" s="19">
        <v>7394944450991800</v>
      </c>
    </row>
    <row r="1374" spans="8:10" ht="15" customHeight="1">
      <c r="H1374" s="23">
        <v>0.61875000000000013</v>
      </c>
      <c r="I1374" s="23">
        <v>7.1250000000000008E-2</v>
      </c>
      <c r="J1374" s="19">
        <v>7392695295676080</v>
      </c>
    </row>
    <row r="1375" spans="8:10" ht="15" customHeight="1">
      <c r="H1375" s="23">
        <v>0.61875000000000013</v>
      </c>
      <c r="I1375" s="23">
        <v>7.5000000000000011E-2</v>
      </c>
      <c r="J1375" s="19">
        <v>7390469872821584</v>
      </c>
    </row>
    <row r="1376" spans="8:10" ht="15" customHeight="1">
      <c r="H1376" s="23">
        <v>0.61875000000000013</v>
      </c>
      <c r="I1376" s="23">
        <v>7.8750000000000014E-2</v>
      </c>
      <c r="J1376" s="19">
        <v>7388272009466816</v>
      </c>
    </row>
    <row r="1377" spans="8:10" ht="15" customHeight="1">
      <c r="H1377" s="23">
        <v>0.61875000000000013</v>
      </c>
      <c r="I1377" s="23">
        <v>8.2500000000000018E-2</v>
      </c>
      <c r="J1377" s="19">
        <v>7386098149234880</v>
      </c>
    </row>
    <row r="1378" spans="8:10" ht="15" customHeight="1">
      <c r="H1378" s="23">
        <v>0.61875000000000013</v>
      </c>
      <c r="I1378" s="23">
        <v>8.6250000000000007E-2</v>
      </c>
      <c r="J1378" s="19">
        <v>7383951579869784</v>
      </c>
    </row>
    <row r="1379" spans="8:10" ht="15" customHeight="1">
      <c r="H1379" s="23">
        <v>0.61875000000000013</v>
      </c>
      <c r="I1379" s="23">
        <v>9.0000000000000011E-2</v>
      </c>
      <c r="J1379" s="19">
        <v>7381829208497504</v>
      </c>
    </row>
    <row r="1380" spans="8:10" ht="15" customHeight="1">
      <c r="H1380" s="23">
        <v>0.61875000000000013</v>
      </c>
      <c r="I1380" s="23">
        <v>9.3750000000000014E-2</v>
      </c>
      <c r="J1380" s="19">
        <v>7379733923144688</v>
      </c>
    </row>
    <row r="1381" spans="8:10" ht="15" customHeight="1">
      <c r="H1381" s="23">
        <v>0.61875000000000013</v>
      </c>
      <c r="I1381" s="23">
        <v>9.7500000000000017E-2</v>
      </c>
      <c r="J1381" s="19">
        <v>7377662977577448</v>
      </c>
    </row>
    <row r="1382" spans="8:10" ht="15" customHeight="1">
      <c r="H1382" s="23">
        <v>0.61875000000000013</v>
      </c>
      <c r="I1382" s="23">
        <v>0.10125000000000002</v>
      </c>
      <c r="J1382" s="19">
        <v>7375618958738784</v>
      </c>
    </row>
    <row r="1383" spans="8:10" ht="15" customHeight="1">
      <c r="H1383" s="23">
        <v>0.61875000000000013</v>
      </c>
      <c r="I1383" s="23">
        <v>0.10500000000000001</v>
      </c>
      <c r="J1383" s="19">
        <v>7373599382814560</v>
      </c>
    </row>
    <row r="1384" spans="8:10" ht="15" customHeight="1">
      <c r="H1384" s="23">
        <v>0.61875000000000013</v>
      </c>
      <c r="I1384" s="23">
        <v>0.10875000000000001</v>
      </c>
      <c r="J1384" s="19">
        <v>7371606607836720</v>
      </c>
    </row>
    <row r="1385" spans="8:10" ht="15" customHeight="1">
      <c r="H1385" s="23">
        <v>0.61875000000000013</v>
      </c>
      <c r="I1385" s="23">
        <v>0.11250000000000002</v>
      </c>
      <c r="J1385" s="19">
        <v>7369638349452528</v>
      </c>
    </row>
    <row r="1386" spans="8:10" ht="15" customHeight="1">
      <c r="H1386" s="23">
        <v>0.61875000000000013</v>
      </c>
      <c r="I1386" s="23">
        <v>0.11625000000000002</v>
      </c>
      <c r="J1386" s="19">
        <v>7367696791228504</v>
      </c>
    </row>
    <row r="1387" spans="8:10" ht="15" customHeight="1">
      <c r="H1387" s="23">
        <v>0.61875000000000013</v>
      </c>
      <c r="I1387" s="23">
        <v>0.12000000000000002</v>
      </c>
      <c r="J1387" s="19">
        <v>7365779799341568</v>
      </c>
    </row>
    <row r="1388" spans="8:10" ht="15" customHeight="1">
      <c r="H1388" s="23">
        <v>0.61875000000000013</v>
      </c>
      <c r="I1388" s="23">
        <v>0.12375000000000001</v>
      </c>
      <c r="J1388" s="19">
        <v>7363889425026192</v>
      </c>
    </row>
    <row r="1389" spans="8:10" ht="15" customHeight="1">
      <c r="H1389" s="23">
        <v>0.61875000000000013</v>
      </c>
      <c r="I1389" s="23">
        <v>0.12750000000000003</v>
      </c>
      <c r="J1389" s="19">
        <v>7362023645283104</v>
      </c>
    </row>
    <row r="1390" spans="8:10" ht="15" customHeight="1">
      <c r="H1390" s="23">
        <v>0.61875000000000013</v>
      </c>
      <c r="I1390" s="23">
        <v>0.13125000000000003</v>
      </c>
      <c r="J1390" s="19">
        <v>7360184412603888</v>
      </c>
    </row>
    <row r="1391" spans="8:10" ht="15" customHeight="1">
      <c r="H1391" s="23">
        <v>0.61875000000000013</v>
      </c>
      <c r="I1391" s="23">
        <v>0.13500000000000001</v>
      </c>
      <c r="J1391" s="19">
        <v>7358369782037368</v>
      </c>
    </row>
    <row r="1392" spans="8:10" ht="15" customHeight="1">
      <c r="H1392" s="23">
        <v>0.61875000000000013</v>
      </c>
      <c r="I1392" s="23">
        <v>0.13875000000000001</v>
      </c>
      <c r="J1392" s="19">
        <v>7356581638000488</v>
      </c>
    </row>
    <row r="1393" spans="8:10" ht="15" customHeight="1">
      <c r="H1393" s="23">
        <v>0.61875000000000013</v>
      </c>
      <c r="I1393" s="23">
        <v>0.14250000000000002</v>
      </c>
      <c r="J1393" s="19">
        <v>7354818093962528</v>
      </c>
    </row>
    <row r="1394" spans="8:10" ht="15" customHeight="1">
      <c r="H1394" s="23">
        <v>0.61875000000000013</v>
      </c>
      <c r="I1394" s="23">
        <v>0.14625000000000002</v>
      </c>
      <c r="J1394" s="19">
        <v>7353081016957232</v>
      </c>
    </row>
    <row r="1395" spans="8:10" ht="15" customHeight="1">
      <c r="H1395" s="23">
        <v>0.61875000000000013</v>
      </c>
      <c r="I1395" s="23">
        <v>0.15000000000000002</v>
      </c>
      <c r="J1395" s="19">
        <v>7351368619840704</v>
      </c>
    </row>
    <row r="1396" spans="8:10" ht="15" customHeight="1">
      <c r="H1396" s="23">
        <v>0.63750000000000007</v>
      </c>
      <c r="I1396" s="23">
        <v>0</v>
      </c>
      <c r="J1396" s="19">
        <v>7436001495208392</v>
      </c>
    </row>
    <row r="1397" spans="8:10" ht="15" customHeight="1">
      <c r="H1397" s="23">
        <v>0.63750000000000007</v>
      </c>
      <c r="I1397" s="23">
        <v>3.7500000000000007E-3</v>
      </c>
      <c r="J1397" s="19">
        <v>7436498264224768</v>
      </c>
    </row>
    <row r="1398" spans="8:10" ht="15" customHeight="1">
      <c r="H1398" s="23">
        <v>0.63750000000000007</v>
      </c>
      <c r="I1398" s="23">
        <v>7.5000000000000015E-3</v>
      </c>
      <c r="J1398" s="19">
        <v>7434435555997968</v>
      </c>
    </row>
    <row r="1399" spans="8:10" ht="15" customHeight="1">
      <c r="H1399" s="23">
        <v>0.63750000000000007</v>
      </c>
      <c r="I1399" s="23">
        <v>1.1250000000000001E-2</v>
      </c>
      <c r="J1399" s="19">
        <v>7432019982630736</v>
      </c>
    </row>
    <row r="1400" spans="8:10" ht="15" customHeight="1">
      <c r="H1400" s="23">
        <v>0.63750000000000007</v>
      </c>
      <c r="I1400" s="23">
        <v>1.5000000000000003E-2</v>
      </c>
      <c r="J1400" s="19">
        <v>7429410469116688</v>
      </c>
    </row>
    <row r="1401" spans="8:10" ht="15" customHeight="1">
      <c r="H1401" s="23">
        <v>0.63750000000000007</v>
      </c>
      <c r="I1401" s="23">
        <v>1.8750000000000003E-2</v>
      </c>
      <c r="J1401" s="19">
        <v>7426817157527736</v>
      </c>
    </row>
    <row r="1402" spans="8:10" ht="15" customHeight="1">
      <c r="H1402" s="23">
        <v>0.63750000000000007</v>
      </c>
      <c r="I1402" s="23">
        <v>2.2500000000000003E-2</v>
      </c>
      <c r="J1402" s="19">
        <v>7424221645336984</v>
      </c>
    </row>
    <row r="1403" spans="8:10" ht="15" customHeight="1">
      <c r="H1403" s="23">
        <v>0.63750000000000007</v>
      </c>
      <c r="I1403" s="23">
        <v>2.6250000000000002E-2</v>
      </c>
      <c r="J1403" s="19">
        <v>7421669193897352</v>
      </c>
    </row>
    <row r="1404" spans="8:10" ht="15" customHeight="1">
      <c r="H1404" s="23">
        <v>0.63750000000000007</v>
      </c>
      <c r="I1404" s="23">
        <v>3.0000000000000006E-2</v>
      </c>
      <c r="J1404" s="19">
        <v>7419130026957152</v>
      </c>
    </row>
    <row r="1405" spans="8:10" ht="15" customHeight="1">
      <c r="H1405" s="23">
        <v>0.63750000000000007</v>
      </c>
      <c r="I1405" s="23">
        <v>3.3750000000000002E-2</v>
      </c>
      <c r="J1405" s="19">
        <v>7416626358238472</v>
      </c>
    </row>
    <row r="1406" spans="8:10" ht="15" customHeight="1">
      <c r="H1406" s="23">
        <v>0.63750000000000007</v>
      </c>
      <c r="I1406" s="23">
        <v>3.7500000000000006E-2</v>
      </c>
      <c r="J1406" s="19">
        <v>7414140825872256</v>
      </c>
    </row>
    <row r="1407" spans="8:10" ht="15" customHeight="1">
      <c r="H1407" s="23">
        <v>0.63750000000000007</v>
      </c>
      <c r="I1407" s="23">
        <v>4.1250000000000009E-2</v>
      </c>
      <c r="J1407" s="19">
        <v>7411687396664816</v>
      </c>
    </row>
    <row r="1408" spans="8:10" ht="15" customHeight="1">
      <c r="H1408" s="23">
        <v>0.63750000000000007</v>
      </c>
      <c r="I1408" s="23">
        <v>4.5000000000000005E-2</v>
      </c>
      <c r="J1408" s="19">
        <v>7409254521316744</v>
      </c>
    </row>
    <row r="1409" spans="8:10" ht="15" customHeight="1">
      <c r="H1409" s="23">
        <v>0.63750000000000007</v>
      </c>
      <c r="I1409" s="23">
        <v>4.8750000000000009E-2</v>
      </c>
      <c r="J1409" s="19">
        <v>7406851905764944</v>
      </c>
    </row>
    <row r="1410" spans="8:10" ht="15" customHeight="1">
      <c r="H1410" s="23">
        <v>0.63750000000000007</v>
      </c>
      <c r="I1410" s="23">
        <v>5.2500000000000005E-2</v>
      </c>
      <c r="J1410" s="19">
        <v>7404471220014240</v>
      </c>
    </row>
    <row r="1411" spans="8:10" ht="15" customHeight="1">
      <c r="H1411" s="23">
        <v>0.63750000000000007</v>
      </c>
      <c r="I1411" s="23">
        <v>5.6250000000000008E-2</v>
      </c>
      <c r="J1411" s="19">
        <v>7402119678319352</v>
      </c>
    </row>
    <row r="1412" spans="8:10" ht="15" customHeight="1">
      <c r="H1412" s="23">
        <v>0.63750000000000007</v>
      </c>
      <c r="I1412" s="23">
        <v>6.0000000000000012E-2</v>
      </c>
      <c r="J1412" s="19">
        <v>7399790918692264</v>
      </c>
    </row>
    <row r="1413" spans="8:10" ht="15" customHeight="1">
      <c r="H1413" s="23">
        <v>0.63750000000000007</v>
      </c>
      <c r="I1413" s="23">
        <v>6.3750000000000015E-2</v>
      </c>
      <c r="J1413" s="19">
        <v>7397490575017960</v>
      </c>
    </row>
    <row r="1414" spans="8:10" ht="15" customHeight="1">
      <c r="H1414" s="23">
        <v>0.63750000000000007</v>
      </c>
      <c r="I1414" s="23">
        <v>6.7500000000000004E-2</v>
      </c>
      <c r="J1414" s="19">
        <v>7395213573208528</v>
      </c>
    </row>
    <row r="1415" spans="8:10" ht="15" customHeight="1">
      <c r="H1415" s="23">
        <v>0.63750000000000007</v>
      </c>
      <c r="I1415" s="23">
        <v>7.1250000000000008E-2</v>
      </c>
      <c r="J1415" s="19">
        <v>7392964485096192</v>
      </c>
    </row>
    <row r="1416" spans="8:10" ht="15" customHeight="1">
      <c r="H1416" s="23">
        <v>0.63750000000000007</v>
      </c>
      <c r="I1416" s="23">
        <v>7.5000000000000011E-2</v>
      </c>
      <c r="J1416" s="19">
        <v>7390739122266192</v>
      </c>
    </row>
    <row r="1417" spans="8:10" ht="15" customHeight="1">
      <c r="H1417" s="23">
        <v>0.63750000000000007</v>
      </c>
      <c r="I1417" s="23">
        <v>7.8750000000000014E-2</v>
      </c>
      <c r="J1417" s="19">
        <v>7388541311687032</v>
      </c>
    </row>
    <row r="1418" spans="8:10" ht="15" customHeight="1">
      <c r="H1418" s="23">
        <v>0.63750000000000007</v>
      </c>
      <c r="I1418" s="23">
        <v>8.2500000000000018E-2</v>
      </c>
      <c r="J1418" s="19">
        <v>7386367496919320</v>
      </c>
    </row>
    <row r="1419" spans="8:10" ht="15" customHeight="1">
      <c r="H1419" s="23">
        <v>0.63750000000000007</v>
      </c>
      <c r="I1419" s="23">
        <v>8.6250000000000007E-2</v>
      </c>
      <c r="J1419" s="19">
        <v>7384220965620792</v>
      </c>
    </row>
    <row r="1420" spans="8:10" ht="15" customHeight="1">
      <c r="H1420" s="23">
        <v>0.63750000000000007</v>
      </c>
      <c r="I1420" s="23">
        <v>9.0000000000000011E-2</v>
      </c>
      <c r="J1420" s="19">
        <v>7382098624849912</v>
      </c>
    </row>
    <row r="1421" spans="8:10" ht="15" customHeight="1">
      <c r="H1421" s="23">
        <v>0.63750000000000007</v>
      </c>
      <c r="I1421" s="23">
        <v>9.3750000000000014E-2</v>
      </c>
      <c r="J1421" s="19">
        <v>7380003362566768</v>
      </c>
    </row>
    <row r="1422" spans="8:10" ht="15" customHeight="1">
      <c r="H1422" s="23">
        <v>0.63750000000000007</v>
      </c>
      <c r="I1422" s="23">
        <v>9.7500000000000017E-2</v>
      </c>
      <c r="J1422" s="19">
        <v>7377932432526504</v>
      </c>
    </row>
    <row r="1423" spans="8:10" ht="15" customHeight="1">
      <c r="H1423" s="23">
        <v>0.63750000000000007</v>
      </c>
      <c r="I1423" s="23">
        <v>0.10125000000000002</v>
      </c>
      <c r="J1423" s="19">
        <v>7375888421729072</v>
      </c>
    </row>
    <row r="1424" spans="8:10" ht="15" customHeight="1">
      <c r="H1424" s="23">
        <v>0.63750000000000007</v>
      </c>
      <c r="I1424" s="23">
        <v>0.10500000000000001</v>
      </c>
      <c r="J1424" s="19">
        <v>7373868846579056</v>
      </c>
    </row>
    <row r="1425" spans="8:10" ht="15" customHeight="1">
      <c r="H1425" s="23">
        <v>0.63750000000000007</v>
      </c>
      <c r="I1425" s="23">
        <v>0.10875000000000001</v>
      </c>
      <c r="J1425" s="19">
        <v>7371876065574208</v>
      </c>
    </row>
    <row r="1426" spans="8:10" ht="15" customHeight="1">
      <c r="H1426" s="23">
        <v>0.63750000000000007</v>
      </c>
      <c r="I1426" s="23">
        <v>0.11250000000000002</v>
      </c>
      <c r="J1426" s="19">
        <v>7369907795274816</v>
      </c>
    </row>
    <row r="1427" spans="8:10" ht="15" customHeight="1">
      <c r="H1427" s="23">
        <v>0.63750000000000007</v>
      </c>
      <c r="I1427" s="23">
        <v>0.11625000000000002</v>
      </c>
      <c r="J1427" s="19">
        <v>7367966220858584</v>
      </c>
    </row>
    <row r="1428" spans="8:10" ht="15" customHeight="1">
      <c r="H1428" s="23">
        <v>0.63750000000000007</v>
      </c>
      <c r="I1428" s="23">
        <v>0.12000000000000002</v>
      </c>
      <c r="J1428" s="19">
        <v>7366049211241952</v>
      </c>
    </row>
    <row r="1429" spans="8:10" ht="15" customHeight="1">
      <c r="H1429" s="23">
        <v>0.63750000000000007</v>
      </c>
      <c r="I1429" s="23">
        <v>0.12375000000000001</v>
      </c>
      <c r="J1429" s="19">
        <v>7364158822072872</v>
      </c>
    </row>
    <row r="1430" spans="8:10" ht="15" customHeight="1">
      <c r="H1430" s="23">
        <v>0.63750000000000007</v>
      </c>
      <c r="I1430" s="23">
        <v>0.12750000000000003</v>
      </c>
      <c r="J1430" s="19">
        <v>7362293037151200</v>
      </c>
    </row>
    <row r="1431" spans="8:10" ht="15" customHeight="1">
      <c r="H1431" s="23">
        <v>0.63750000000000007</v>
      </c>
      <c r="I1431" s="23">
        <v>0.13125000000000003</v>
      </c>
      <c r="J1431" s="19">
        <v>7360453818734448</v>
      </c>
    </row>
    <row r="1432" spans="8:10" ht="15" customHeight="1">
      <c r="H1432" s="23">
        <v>0.63750000000000007</v>
      </c>
      <c r="I1432" s="23">
        <v>0.13500000000000001</v>
      </c>
      <c r="J1432" s="19">
        <v>7358639234447536</v>
      </c>
    </row>
    <row r="1433" spans="8:10" ht="15" customHeight="1">
      <c r="H1433" s="23">
        <v>0.63750000000000007</v>
      </c>
      <c r="I1433" s="23">
        <v>0.13875000000000001</v>
      </c>
      <c r="J1433" s="19">
        <v>7356851181300736</v>
      </c>
    </row>
    <row r="1434" spans="8:10" ht="15" customHeight="1">
      <c r="H1434" s="23">
        <v>0.63750000000000007</v>
      </c>
      <c r="I1434" s="23">
        <v>0.14250000000000002</v>
      </c>
      <c r="J1434" s="19">
        <v>7355087775617032</v>
      </c>
    </row>
    <row r="1435" spans="8:10" ht="15" customHeight="1">
      <c r="H1435" s="23">
        <v>0.63750000000000007</v>
      </c>
      <c r="I1435" s="23">
        <v>0.14625000000000002</v>
      </c>
      <c r="J1435" s="19">
        <v>7353350850623760</v>
      </c>
    </row>
    <row r="1436" spans="8:10" ht="15" customHeight="1">
      <c r="H1436" s="23">
        <v>0.63750000000000007</v>
      </c>
      <c r="I1436" s="23">
        <v>0.15000000000000002</v>
      </c>
      <c r="J1436" s="19">
        <v>7351638482226176</v>
      </c>
    </row>
    <row r="1437" spans="8:10" ht="15" customHeight="1">
      <c r="H1437" s="23">
        <v>0.65625000000000011</v>
      </c>
      <c r="I1437" s="23">
        <v>0</v>
      </c>
      <c r="J1437" s="19">
        <v>7436226978882992</v>
      </c>
    </row>
    <row r="1438" spans="8:10" ht="15" customHeight="1">
      <c r="H1438" s="23">
        <v>0.65625000000000011</v>
      </c>
      <c r="I1438" s="23">
        <v>3.7500000000000007E-3</v>
      </c>
      <c r="J1438" s="19">
        <v>7436723893969600</v>
      </c>
    </row>
    <row r="1439" spans="8:10" ht="15" customHeight="1">
      <c r="H1439" s="23">
        <v>0.65625000000000011</v>
      </c>
      <c r="I1439" s="23">
        <v>7.5000000000000015E-3</v>
      </c>
      <c r="J1439" s="19">
        <v>7434661331989472</v>
      </c>
    </row>
    <row r="1440" spans="8:10" ht="15" customHeight="1">
      <c r="H1440" s="23">
        <v>0.65625000000000011</v>
      </c>
      <c r="I1440" s="23">
        <v>1.1250000000000001E-2</v>
      </c>
      <c r="J1440" s="19">
        <v>7432245900252272</v>
      </c>
    </row>
    <row r="1441" spans="8:10" ht="15" customHeight="1">
      <c r="H1441" s="23">
        <v>0.65625000000000011</v>
      </c>
      <c r="I1441" s="23">
        <v>1.5000000000000003E-2</v>
      </c>
      <c r="J1441" s="19">
        <v>7429636523406576</v>
      </c>
    </row>
    <row r="1442" spans="8:10" ht="15" customHeight="1">
      <c r="H1442" s="23">
        <v>0.65625000000000011</v>
      </c>
      <c r="I1442" s="23">
        <v>1.8750000000000003E-2</v>
      </c>
      <c r="J1442" s="19">
        <v>7427043343045544</v>
      </c>
    </row>
    <row r="1443" spans="8:10" ht="15" customHeight="1">
      <c r="H1443" s="23">
        <v>0.65625000000000011</v>
      </c>
      <c r="I1443" s="23">
        <v>2.2500000000000003E-2</v>
      </c>
      <c r="J1443" s="19">
        <v>7424447956658032</v>
      </c>
    </row>
    <row r="1444" spans="8:10" ht="15" customHeight="1">
      <c r="H1444" s="23">
        <v>0.65625000000000011</v>
      </c>
      <c r="I1444" s="23">
        <v>2.6250000000000002E-2</v>
      </c>
      <c r="J1444" s="19">
        <v>7421895625471992</v>
      </c>
    </row>
    <row r="1445" spans="8:10" ht="15" customHeight="1">
      <c r="H1445" s="23">
        <v>0.65625000000000011</v>
      </c>
      <c r="I1445" s="23">
        <v>3.0000000000000006E-2</v>
      </c>
      <c r="J1445" s="19">
        <v>7419356573276528</v>
      </c>
    </row>
    <row r="1446" spans="8:10" ht="15" customHeight="1">
      <c r="H1446" s="23">
        <v>0.65625000000000011</v>
      </c>
      <c r="I1446" s="23">
        <v>3.3750000000000002E-2</v>
      </c>
      <c r="J1446" s="19">
        <v>7416853013720824</v>
      </c>
    </row>
    <row r="1447" spans="8:10" ht="15" customHeight="1">
      <c r="H1447" s="23">
        <v>0.65625000000000011</v>
      </c>
      <c r="I1447" s="23">
        <v>3.7500000000000006E-2</v>
      </c>
      <c r="J1447" s="19">
        <v>7414367584950608</v>
      </c>
    </row>
    <row r="1448" spans="8:10" ht="15" customHeight="1">
      <c r="H1448" s="23">
        <v>0.65625000000000011</v>
      </c>
      <c r="I1448" s="23">
        <v>4.1250000000000009E-2</v>
      </c>
      <c r="J1448" s="19">
        <v>7411914253717208</v>
      </c>
    </row>
    <row r="1449" spans="8:10" ht="15" customHeight="1">
      <c r="H1449" s="23">
        <v>0.65625000000000011</v>
      </c>
      <c r="I1449" s="23">
        <v>4.5000000000000005E-2</v>
      </c>
      <c r="J1449" s="19">
        <v>7409481470720936</v>
      </c>
    </row>
    <row r="1450" spans="8:10" ht="15" customHeight="1">
      <c r="H1450" s="23">
        <v>0.65625000000000011</v>
      </c>
      <c r="I1450" s="23">
        <v>4.8750000000000009E-2</v>
      </c>
      <c r="J1450" s="19">
        <v>7407078941847984</v>
      </c>
    </row>
    <row r="1451" spans="8:10" ht="15" customHeight="1">
      <c r="H1451" s="23">
        <v>0.65625000000000011</v>
      </c>
      <c r="I1451" s="23">
        <v>5.2500000000000005E-2</v>
      </c>
      <c r="J1451" s="19">
        <v>7404698337089152</v>
      </c>
    </row>
    <row r="1452" spans="8:10" ht="15" customHeight="1">
      <c r="H1452" s="23">
        <v>0.65625000000000011</v>
      </c>
      <c r="I1452" s="23">
        <v>5.6250000000000008E-2</v>
      </c>
      <c r="J1452" s="19">
        <v>7402346870645672</v>
      </c>
    </row>
    <row r="1453" spans="8:10" ht="15" customHeight="1">
      <c r="H1453" s="23">
        <v>0.65625000000000011</v>
      </c>
      <c r="I1453" s="23">
        <v>6.0000000000000012E-2</v>
      </c>
      <c r="J1453" s="19">
        <v>7400018180500824</v>
      </c>
    </row>
    <row r="1454" spans="8:10" ht="15" customHeight="1">
      <c r="H1454" s="23">
        <v>0.65625000000000011</v>
      </c>
      <c r="I1454" s="23">
        <v>6.3750000000000015E-2</v>
      </c>
      <c r="J1454" s="19">
        <v>7397717900478136</v>
      </c>
    </row>
    <row r="1455" spans="8:10" ht="15" customHeight="1">
      <c r="H1455" s="23">
        <v>0.65625000000000011</v>
      </c>
      <c r="I1455" s="23">
        <v>6.7500000000000004E-2</v>
      </c>
      <c r="J1455" s="19">
        <v>7395440956445024</v>
      </c>
    </row>
    <row r="1456" spans="8:10" ht="15" customHeight="1">
      <c r="H1456" s="23">
        <v>0.65625000000000011</v>
      </c>
      <c r="I1456" s="23">
        <v>7.1250000000000008E-2</v>
      </c>
      <c r="J1456" s="19">
        <v>7393191920159824</v>
      </c>
    </row>
    <row r="1457" spans="8:10" ht="15" customHeight="1">
      <c r="H1457" s="23">
        <v>0.65625000000000011</v>
      </c>
      <c r="I1457" s="23">
        <v>7.5000000000000011E-2</v>
      </c>
      <c r="J1457" s="19">
        <v>7390966603144776</v>
      </c>
    </row>
    <row r="1458" spans="8:10" ht="15" customHeight="1">
      <c r="H1458" s="23">
        <v>0.65625000000000011</v>
      </c>
      <c r="I1458" s="23">
        <v>7.8750000000000014E-2</v>
      </c>
      <c r="J1458" s="19">
        <v>7388768832276872</v>
      </c>
    </row>
    <row r="1459" spans="8:10" ht="15" customHeight="1">
      <c r="H1459" s="23">
        <v>0.65625000000000011</v>
      </c>
      <c r="I1459" s="23">
        <v>8.2500000000000018E-2</v>
      </c>
      <c r="J1459" s="19">
        <v>7386595051028624</v>
      </c>
    </row>
    <row r="1460" spans="8:10" ht="15" customHeight="1">
      <c r="H1460" s="23">
        <v>0.65625000000000011</v>
      </c>
      <c r="I1460" s="23">
        <v>8.6250000000000007E-2</v>
      </c>
      <c r="J1460" s="19">
        <v>7384448546936480</v>
      </c>
    </row>
    <row r="1461" spans="8:10" ht="15" customHeight="1">
      <c r="H1461" s="23">
        <v>0.65625000000000011</v>
      </c>
      <c r="I1461" s="23">
        <v>9.0000000000000011E-2</v>
      </c>
      <c r="J1461" s="19">
        <v>7382326226926160</v>
      </c>
    </row>
    <row r="1462" spans="8:10" ht="15" customHeight="1">
      <c r="H1462" s="23">
        <v>0.65625000000000011</v>
      </c>
      <c r="I1462" s="23">
        <v>9.3750000000000014E-2</v>
      </c>
      <c r="J1462" s="19">
        <v>7380230978772696</v>
      </c>
    </row>
    <row r="1463" spans="8:10" ht="15" customHeight="1">
      <c r="H1463" s="23">
        <v>0.65625000000000011</v>
      </c>
      <c r="I1463" s="23">
        <v>9.7500000000000017E-2</v>
      </c>
      <c r="J1463" s="19">
        <v>7378160055996328</v>
      </c>
    </row>
    <row r="1464" spans="8:10" ht="15" customHeight="1">
      <c r="H1464" s="23">
        <v>0.65625000000000011</v>
      </c>
      <c r="I1464" s="23">
        <v>0.10125000000000002</v>
      </c>
      <c r="J1464" s="19">
        <v>7376116045248280</v>
      </c>
    </row>
    <row r="1465" spans="8:10" ht="15" customHeight="1">
      <c r="H1465" s="23">
        <v>0.65625000000000011</v>
      </c>
      <c r="I1465" s="23">
        <v>0.10500000000000001</v>
      </c>
      <c r="J1465" s="19">
        <v>7374096462429480</v>
      </c>
    </row>
    <row r="1466" spans="8:10" ht="15" customHeight="1">
      <c r="H1466" s="23">
        <v>0.65625000000000011</v>
      </c>
      <c r="I1466" s="23">
        <v>0.10875000000000001</v>
      </c>
      <c r="J1466" s="19">
        <v>7372103665248608</v>
      </c>
    </row>
    <row r="1467" spans="8:10" ht="15" customHeight="1">
      <c r="H1467" s="23">
        <v>0.65625000000000011</v>
      </c>
      <c r="I1467" s="23">
        <v>0.11250000000000002</v>
      </c>
      <c r="J1467" s="19">
        <v>7370135369041432</v>
      </c>
    </row>
    <row r="1468" spans="8:10" ht="15" customHeight="1">
      <c r="H1468" s="23">
        <v>0.65625000000000011</v>
      </c>
      <c r="I1468" s="23">
        <v>0.11625000000000002</v>
      </c>
      <c r="J1468" s="19">
        <v>7368193757037944</v>
      </c>
    </row>
    <row r="1469" spans="8:10" ht="15" customHeight="1">
      <c r="H1469" s="23">
        <v>0.65625000000000011</v>
      </c>
      <c r="I1469" s="23">
        <v>0.12000000000000002</v>
      </c>
      <c r="J1469" s="19">
        <v>7366276695103512</v>
      </c>
    </row>
    <row r="1470" spans="8:10" ht="15" customHeight="1">
      <c r="H1470" s="23">
        <v>0.65625000000000011</v>
      </c>
      <c r="I1470" s="23">
        <v>0.12375000000000001</v>
      </c>
      <c r="J1470" s="19">
        <v>7364386234159136</v>
      </c>
    </row>
    <row r="1471" spans="8:10" ht="15" customHeight="1">
      <c r="H1471" s="23">
        <v>0.65625000000000011</v>
      </c>
      <c r="I1471" s="23">
        <v>0.12750000000000003</v>
      </c>
      <c r="J1471" s="19">
        <v>7362520350942448</v>
      </c>
    </row>
    <row r="1472" spans="8:10" ht="15" customHeight="1">
      <c r="H1472" s="23">
        <v>0.65625000000000011</v>
      </c>
      <c r="I1472" s="23">
        <v>0.13125000000000003</v>
      </c>
      <c r="J1472" s="19">
        <v>7360680997708648</v>
      </c>
    </row>
    <row r="1473" spans="8:10" ht="15" customHeight="1">
      <c r="H1473" s="23">
        <v>0.65625000000000011</v>
      </c>
      <c r="I1473" s="23">
        <v>0.13500000000000001</v>
      </c>
      <c r="J1473" s="19">
        <v>7358866229333176</v>
      </c>
    </row>
    <row r="1474" spans="8:10" ht="15" customHeight="1">
      <c r="H1474" s="23">
        <v>0.65625000000000011</v>
      </c>
      <c r="I1474" s="23">
        <v>0.13875000000000001</v>
      </c>
      <c r="J1474" s="19">
        <v>7357077930036536</v>
      </c>
    </row>
    <row r="1475" spans="8:10" ht="15" customHeight="1">
      <c r="H1475" s="23">
        <v>0.65625000000000011</v>
      </c>
      <c r="I1475" s="23">
        <v>0.14250000000000002</v>
      </c>
      <c r="J1475" s="19">
        <v>7355314212926616</v>
      </c>
    </row>
    <row r="1476" spans="8:10" ht="15" customHeight="1">
      <c r="H1476" s="23">
        <v>0.65625000000000011</v>
      </c>
      <c r="I1476" s="23">
        <v>0.14625000000000002</v>
      </c>
      <c r="J1476" s="19">
        <v>7353576943978448</v>
      </c>
    </row>
    <row r="1477" spans="8:10" ht="15" customHeight="1">
      <c r="H1477" s="23">
        <v>0.65625000000000011</v>
      </c>
      <c r="I1477" s="23">
        <v>0.15000000000000002</v>
      </c>
      <c r="J1477" s="19">
        <v>7351864333096384</v>
      </c>
    </row>
    <row r="1478" spans="8:10" ht="15" customHeight="1">
      <c r="H1478" s="23">
        <v>0.67500000000000004</v>
      </c>
      <c r="I1478" s="23">
        <v>0</v>
      </c>
      <c r="J1478" s="19">
        <v>7436411449857400</v>
      </c>
    </row>
    <row r="1479" spans="8:10" ht="15" customHeight="1">
      <c r="H1479" s="23">
        <v>0.67500000000000004</v>
      </c>
      <c r="I1479" s="23">
        <v>3.7500000000000007E-3</v>
      </c>
      <c r="J1479" s="19">
        <v>7436908459612656</v>
      </c>
    </row>
    <row r="1480" spans="8:10" ht="15" customHeight="1">
      <c r="H1480" s="23">
        <v>0.67500000000000004</v>
      </c>
      <c r="I1480" s="23">
        <v>7.5000000000000015E-3</v>
      </c>
      <c r="J1480" s="19">
        <v>7434845995529712</v>
      </c>
    </row>
    <row r="1481" spans="8:10" ht="15" customHeight="1">
      <c r="H1481" s="23">
        <v>0.67500000000000004</v>
      </c>
      <c r="I1481" s="23">
        <v>1.1250000000000001E-2</v>
      </c>
      <c r="J1481" s="19">
        <v>7432430660434248</v>
      </c>
    </row>
    <row r="1482" spans="8:10" ht="15" customHeight="1">
      <c r="H1482" s="23">
        <v>0.67500000000000004</v>
      </c>
      <c r="I1482" s="23">
        <v>1.5000000000000003E-2</v>
      </c>
      <c r="J1482" s="19">
        <v>7429821378312416</v>
      </c>
    </row>
    <row r="1483" spans="8:10" ht="15" customHeight="1">
      <c r="H1483" s="23">
        <v>0.67500000000000004</v>
      </c>
      <c r="I1483" s="23">
        <v>1.8750000000000003E-2</v>
      </c>
      <c r="J1483" s="19">
        <v>7427228290071624</v>
      </c>
    </row>
    <row r="1484" spans="8:10" ht="15" customHeight="1">
      <c r="H1484" s="23">
        <v>0.67500000000000004</v>
      </c>
      <c r="I1484" s="23">
        <v>2.2500000000000003E-2</v>
      </c>
      <c r="J1484" s="19">
        <v>7424632992978096</v>
      </c>
    </row>
    <row r="1485" spans="8:10" ht="15" customHeight="1">
      <c r="H1485" s="23">
        <v>0.67500000000000004</v>
      </c>
      <c r="I1485" s="23">
        <v>2.6250000000000002E-2</v>
      </c>
      <c r="J1485" s="19">
        <v>7422080747957528</v>
      </c>
    </row>
    <row r="1486" spans="8:10" ht="15" customHeight="1">
      <c r="H1486" s="23">
        <v>0.67500000000000004</v>
      </c>
      <c r="I1486" s="23">
        <v>3.0000000000000006E-2</v>
      </c>
      <c r="J1486" s="19">
        <v>7419541778659936</v>
      </c>
    </row>
    <row r="1487" spans="8:10" ht="15" customHeight="1">
      <c r="H1487" s="23">
        <v>0.67500000000000004</v>
      </c>
      <c r="I1487" s="23">
        <v>3.3750000000000002E-2</v>
      </c>
      <c r="J1487" s="19">
        <v>7417038298523776</v>
      </c>
    </row>
    <row r="1488" spans="8:10" ht="15" customHeight="1">
      <c r="H1488" s="23">
        <v>0.67500000000000004</v>
      </c>
      <c r="I1488" s="23">
        <v>3.7500000000000006E-2</v>
      </c>
      <c r="J1488" s="19">
        <v>7414552945573576</v>
      </c>
    </row>
    <row r="1489" spans="8:10" ht="15" customHeight="1">
      <c r="H1489" s="23">
        <v>0.67500000000000004</v>
      </c>
      <c r="I1489" s="23">
        <v>4.1250000000000009E-2</v>
      </c>
      <c r="J1489" s="19">
        <v>7412099686397184</v>
      </c>
    </row>
    <row r="1490" spans="8:10" ht="15" customHeight="1">
      <c r="H1490" s="23">
        <v>0.67500000000000004</v>
      </c>
      <c r="I1490" s="23">
        <v>4.5000000000000005E-2</v>
      </c>
      <c r="J1490" s="19">
        <v>7409666971589976</v>
      </c>
    </row>
    <row r="1491" spans="8:10" ht="15" customHeight="1">
      <c r="H1491" s="23">
        <v>0.67500000000000004</v>
      </c>
      <c r="I1491" s="23">
        <v>4.8750000000000009E-2</v>
      </c>
      <c r="J1491" s="19">
        <v>7407264506905440</v>
      </c>
    </row>
    <row r="1492" spans="8:10" ht="15" customHeight="1">
      <c r="H1492" s="23">
        <v>0.67500000000000004</v>
      </c>
      <c r="I1492" s="23">
        <v>5.2500000000000005E-2</v>
      </c>
      <c r="J1492" s="19">
        <v>7404883962242056</v>
      </c>
    </row>
    <row r="1493" spans="8:10" ht="15" customHeight="1">
      <c r="H1493" s="23">
        <v>0.67500000000000004</v>
      </c>
      <c r="I1493" s="23">
        <v>5.6250000000000008E-2</v>
      </c>
      <c r="J1493" s="19">
        <v>7402532551687888</v>
      </c>
    </row>
    <row r="1494" spans="8:10" ht="15" customHeight="1">
      <c r="H1494" s="23">
        <v>0.67500000000000004</v>
      </c>
      <c r="I1494" s="23">
        <v>6.0000000000000012E-2</v>
      </c>
      <c r="J1494" s="19">
        <v>7400203913143208</v>
      </c>
    </row>
    <row r="1495" spans="8:10" ht="15" customHeight="1">
      <c r="H1495" s="23">
        <v>0.67500000000000004</v>
      </c>
      <c r="I1495" s="23">
        <v>6.3750000000000015E-2</v>
      </c>
      <c r="J1495" s="19">
        <v>7397903680331456</v>
      </c>
    </row>
    <row r="1496" spans="8:10" ht="15" customHeight="1">
      <c r="H1496" s="23">
        <v>0.67500000000000004</v>
      </c>
      <c r="I1496" s="23">
        <v>6.7500000000000004E-2</v>
      </c>
      <c r="J1496" s="19">
        <v>7395626779043568</v>
      </c>
    </row>
    <row r="1497" spans="8:10" ht="15" customHeight="1">
      <c r="H1497" s="23">
        <v>0.67500000000000004</v>
      </c>
      <c r="I1497" s="23">
        <v>7.1250000000000008E-2</v>
      </c>
      <c r="J1497" s="19">
        <v>7393377780948064</v>
      </c>
    </row>
    <row r="1498" spans="8:10" ht="15" customHeight="1">
      <c r="H1498" s="23">
        <v>0.67500000000000004</v>
      </c>
      <c r="I1498" s="23">
        <v>7.5000000000000011E-2</v>
      </c>
      <c r="J1498" s="19">
        <v>7391152497496656</v>
      </c>
    </row>
    <row r="1499" spans="8:10" ht="15" customHeight="1">
      <c r="H1499" s="23">
        <v>0.67500000000000004</v>
      </c>
      <c r="I1499" s="23">
        <v>7.8750000000000014E-2</v>
      </c>
      <c r="J1499" s="19">
        <v>7388954755487160</v>
      </c>
    </row>
    <row r="1500" spans="8:10" ht="15" customHeight="1">
      <c r="H1500" s="23">
        <v>0.67500000000000004</v>
      </c>
      <c r="I1500" s="23">
        <v>8.2500000000000018E-2</v>
      </c>
      <c r="J1500" s="19">
        <v>7386780998333464</v>
      </c>
    </row>
    <row r="1501" spans="8:10" ht="15" customHeight="1">
      <c r="H1501" s="23">
        <v>0.67500000000000004</v>
      </c>
      <c r="I1501" s="23">
        <v>8.6250000000000007E-2</v>
      </c>
      <c r="J1501" s="19">
        <v>7384634513512936</v>
      </c>
    </row>
    <row r="1502" spans="8:10" ht="15" customHeight="1">
      <c r="H1502" s="23">
        <v>0.67500000000000004</v>
      </c>
      <c r="I1502" s="23">
        <v>9.0000000000000011E-2</v>
      </c>
      <c r="J1502" s="19">
        <v>7382512207923608</v>
      </c>
    </row>
    <row r="1503" spans="8:10" ht="15" customHeight="1">
      <c r="H1503" s="23">
        <v>0.67500000000000004</v>
      </c>
      <c r="I1503" s="23">
        <v>9.3750000000000014E-2</v>
      </c>
      <c r="J1503" s="19">
        <v>7380416969335544</v>
      </c>
    </row>
    <row r="1504" spans="8:10" ht="15" customHeight="1">
      <c r="H1504" s="23">
        <v>0.67500000000000004</v>
      </c>
      <c r="I1504" s="23">
        <v>9.7500000000000017E-2</v>
      </c>
      <c r="J1504" s="19">
        <v>7378346051330760</v>
      </c>
    </row>
    <row r="1505" spans="8:10" ht="15" customHeight="1">
      <c r="H1505" s="23">
        <v>0.67500000000000004</v>
      </c>
      <c r="I1505" s="23">
        <v>0.10125000000000002</v>
      </c>
      <c r="J1505" s="19">
        <v>7376302040709496</v>
      </c>
    </row>
    <row r="1506" spans="8:10" ht="15" customHeight="1">
      <c r="H1506" s="23">
        <v>0.67500000000000004</v>
      </c>
      <c r="I1506" s="23">
        <v>0.10500000000000001</v>
      </c>
      <c r="J1506" s="19">
        <v>7374282453691040</v>
      </c>
    </row>
    <row r="1507" spans="8:10" ht="15" customHeight="1">
      <c r="H1507" s="23">
        <v>0.67500000000000004</v>
      </c>
      <c r="I1507" s="23">
        <v>0.10875000000000001</v>
      </c>
      <c r="J1507" s="19">
        <v>7372289648563288</v>
      </c>
    </row>
    <row r="1508" spans="8:10" ht="15" customHeight="1">
      <c r="H1508" s="23">
        <v>0.67500000000000004</v>
      </c>
      <c r="I1508" s="23">
        <v>0.11250000000000002</v>
      </c>
      <c r="J1508" s="19">
        <v>7370321341687528</v>
      </c>
    </row>
    <row r="1509" spans="8:10" ht="15" customHeight="1">
      <c r="H1509" s="23">
        <v>0.67500000000000004</v>
      </c>
      <c r="I1509" s="23">
        <v>0.11625000000000002</v>
      </c>
      <c r="J1509" s="19">
        <v>7368379718015664</v>
      </c>
    </row>
    <row r="1510" spans="8:10" ht="15" customHeight="1">
      <c r="H1510" s="23">
        <v>0.67500000000000004</v>
      </c>
      <c r="I1510" s="23">
        <v>0.12000000000000002</v>
      </c>
      <c r="J1510" s="19">
        <v>7366462646241592</v>
      </c>
    </row>
    <row r="1511" spans="8:10" ht="15" customHeight="1">
      <c r="H1511" s="23">
        <v>0.67500000000000004</v>
      </c>
      <c r="I1511" s="23">
        <v>0.12375000000000001</v>
      </c>
      <c r="J1511" s="19">
        <v>7364572181754488</v>
      </c>
    </row>
    <row r="1512" spans="8:10" ht="15" customHeight="1">
      <c r="H1512" s="23">
        <v>0.67500000000000004</v>
      </c>
      <c r="I1512" s="23">
        <v>0.12750000000000003</v>
      </c>
      <c r="J1512" s="19">
        <v>7362706308083648</v>
      </c>
    </row>
    <row r="1513" spans="8:10" ht="15" customHeight="1">
      <c r="H1513" s="23">
        <v>0.67500000000000004</v>
      </c>
      <c r="I1513" s="23">
        <v>0.13125000000000003</v>
      </c>
      <c r="J1513" s="19">
        <v>7360866987166496</v>
      </c>
    </row>
    <row r="1514" spans="8:10" ht="15" customHeight="1">
      <c r="H1514" s="23">
        <v>0.67500000000000004</v>
      </c>
      <c r="I1514" s="23">
        <v>0.13500000000000001</v>
      </c>
      <c r="J1514" s="19">
        <v>7359052286296064</v>
      </c>
    </row>
    <row r="1515" spans="8:10" ht="15" customHeight="1">
      <c r="H1515" s="23">
        <v>0.67500000000000004</v>
      </c>
      <c r="I1515" s="23">
        <v>0.13875000000000001</v>
      </c>
      <c r="J1515" s="19">
        <v>7357264102153808</v>
      </c>
    </row>
    <row r="1516" spans="8:10" ht="15" customHeight="1">
      <c r="H1516" s="23">
        <v>0.67500000000000004</v>
      </c>
      <c r="I1516" s="23">
        <v>0.14250000000000002</v>
      </c>
      <c r="J1516" s="19">
        <v>7355500550920960</v>
      </c>
    </row>
    <row r="1517" spans="8:10" ht="15" customHeight="1">
      <c r="H1517" s="23">
        <v>0.67500000000000004</v>
      </c>
      <c r="I1517" s="23">
        <v>0.14625000000000002</v>
      </c>
      <c r="J1517" s="19">
        <v>7353763466252152</v>
      </c>
    </row>
    <row r="1518" spans="8:10" ht="15" customHeight="1">
      <c r="H1518" s="23">
        <v>0.67500000000000004</v>
      </c>
      <c r="I1518" s="23">
        <v>0.15000000000000002</v>
      </c>
      <c r="J1518" s="19">
        <v>7352050926093832</v>
      </c>
    </row>
    <row r="1519" spans="8:10" ht="15" customHeight="1">
      <c r="H1519" s="23">
        <v>0.69375000000000009</v>
      </c>
      <c r="I1519" s="23">
        <v>0</v>
      </c>
      <c r="J1519" s="19">
        <v>7436554964367392</v>
      </c>
    </row>
    <row r="1520" spans="8:10" ht="15" customHeight="1">
      <c r="H1520" s="23">
        <v>0.69375000000000009</v>
      </c>
      <c r="I1520" s="23">
        <v>3.7500000000000007E-3</v>
      </c>
      <c r="J1520" s="19">
        <v>7437052029243408</v>
      </c>
    </row>
    <row r="1521" spans="8:10" ht="15" customHeight="1">
      <c r="H1521" s="23">
        <v>0.69375000000000009</v>
      </c>
      <c r="I1521" s="23">
        <v>7.5000000000000015E-3</v>
      </c>
      <c r="J1521" s="19">
        <v>7434989624245912</v>
      </c>
    </row>
    <row r="1522" spans="8:10" ht="15" customHeight="1">
      <c r="H1522" s="23">
        <v>0.69375000000000009</v>
      </c>
      <c r="I1522" s="23">
        <v>1.1250000000000001E-2</v>
      </c>
      <c r="J1522" s="19">
        <v>7432574348753376</v>
      </c>
    </row>
    <row r="1523" spans="8:10" ht="15" customHeight="1">
      <c r="H1523" s="23">
        <v>0.69375000000000009</v>
      </c>
      <c r="I1523" s="23">
        <v>1.5000000000000003E-2</v>
      </c>
      <c r="J1523" s="19">
        <v>7429965126195456</v>
      </c>
    </row>
    <row r="1524" spans="8:10" ht="15" customHeight="1">
      <c r="H1524" s="23">
        <v>0.69375000000000009</v>
      </c>
      <c r="I1524" s="23">
        <v>1.8750000000000003E-2</v>
      </c>
      <c r="J1524" s="19">
        <v>7427372096853776</v>
      </c>
    </row>
    <row r="1525" spans="8:10" ht="15" customHeight="1">
      <c r="H1525" s="23">
        <v>0.69375000000000009</v>
      </c>
      <c r="I1525" s="23">
        <v>2.2500000000000003E-2</v>
      </c>
      <c r="J1525" s="19">
        <v>7424776857711432</v>
      </c>
    </row>
    <row r="1526" spans="8:10" ht="15" customHeight="1">
      <c r="H1526" s="23">
        <v>0.69375000000000009</v>
      </c>
      <c r="I1526" s="23">
        <v>2.6250000000000002E-2</v>
      </c>
      <c r="J1526" s="19">
        <v>7422224669343432</v>
      </c>
    </row>
    <row r="1527" spans="8:10" ht="15" customHeight="1">
      <c r="H1527" s="23">
        <v>0.69375000000000009</v>
      </c>
      <c r="I1527" s="23">
        <v>3.0000000000000006E-2</v>
      </c>
      <c r="J1527" s="19">
        <v>7419685755180856</v>
      </c>
    </row>
    <row r="1528" spans="8:10" ht="15" customHeight="1">
      <c r="H1528" s="23">
        <v>0.69375000000000009</v>
      </c>
      <c r="I1528" s="23">
        <v>3.3750000000000002E-2</v>
      </c>
      <c r="J1528" s="19">
        <v>7417182328392664</v>
      </c>
    </row>
    <row r="1529" spans="8:10" ht="15" customHeight="1">
      <c r="H1529" s="23">
        <v>0.69375000000000009</v>
      </c>
      <c r="I1529" s="23">
        <v>3.7500000000000006E-2</v>
      </c>
      <c r="J1529" s="19">
        <v>7414697026813224</v>
      </c>
    </row>
    <row r="1530" spans="8:10" ht="15" customHeight="1">
      <c r="H1530" s="23">
        <v>0.69375000000000009</v>
      </c>
      <c r="I1530" s="23">
        <v>4.1250000000000009E-2</v>
      </c>
      <c r="J1530" s="19">
        <v>7412243816815696</v>
      </c>
    </row>
    <row r="1531" spans="8:10" ht="15" customHeight="1">
      <c r="H1531" s="23">
        <v>0.69375000000000009</v>
      </c>
      <c r="I1531" s="23">
        <v>4.5000000000000005E-2</v>
      </c>
      <c r="J1531" s="19">
        <v>7409811148835680</v>
      </c>
    </row>
    <row r="1532" spans="8:10" ht="15" customHeight="1">
      <c r="H1532" s="23">
        <v>0.69375000000000009</v>
      </c>
      <c r="I1532" s="23">
        <v>4.8750000000000009E-2</v>
      </c>
      <c r="J1532" s="19">
        <v>7407408728452744</v>
      </c>
    </row>
    <row r="1533" spans="8:10" ht="15" customHeight="1">
      <c r="H1533" s="23">
        <v>0.69375000000000009</v>
      </c>
      <c r="I1533" s="23">
        <v>5.2500000000000005E-2</v>
      </c>
      <c r="J1533" s="19">
        <v>7405028225431816</v>
      </c>
    </row>
    <row r="1534" spans="8:10" ht="15" customHeight="1">
      <c r="H1534" s="23">
        <v>0.69375000000000009</v>
      </c>
      <c r="I1534" s="23">
        <v>5.6250000000000008E-2</v>
      </c>
      <c r="J1534" s="19">
        <v>7402676853717944</v>
      </c>
    </row>
    <row r="1535" spans="8:10" ht="15" customHeight="1">
      <c r="H1535" s="23">
        <v>0.69375000000000009</v>
      </c>
      <c r="I1535" s="23">
        <v>6.0000000000000012E-2</v>
      </c>
      <c r="J1535" s="19">
        <v>7400348251099160</v>
      </c>
    </row>
    <row r="1536" spans="8:10" ht="15" customHeight="1">
      <c r="H1536" s="23">
        <v>0.69375000000000009</v>
      </c>
      <c r="I1536" s="23">
        <v>6.3750000000000015E-2</v>
      </c>
      <c r="J1536" s="19">
        <v>7398048051179392</v>
      </c>
    </row>
    <row r="1537" spans="8:10" ht="15" customHeight="1">
      <c r="H1537" s="23">
        <v>0.69375000000000009</v>
      </c>
      <c r="I1537" s="23">
        <v>6.7500000000000004E-2</v>
      </c>
      <c r="J1537" s="19">
        <v>7395771179653880</v>
      </c>
    </row>
    <row r="1538" spans="8:10" ht="15" customHeight="1">
      <c r="H1538" s="23">
        <v>0.69375000000000009</v>
      </c>
      <c r="I1538" s="23">
        <v>7.1250000000000008E-2</v>
      </c>
      <c r="J1538" s="19">
        <v>7393522208088760</v>
      </c>
    </row>
    <row r="1539" spans="8:10" ht="15" customHeight="1">
      <c r="H1539" s="23">
        <v>0.69375000000000009</v>
      </c>
      <c r="I1539" s="23">
        <v>7.5000000000000011E-2</v>
      </c>
      <c r="J1539" s="19">
        <v>7391296947851592</v>
      </c>
    </row>
    <row r="1540" spans="8:10" ht="15" customHeight="1">
      <c r="H1540" s="23">
        <v>0.69375000000000009</v>
      </c>
      <c r="I1540" s="23">
        <v>7.8750000000000014E-2</v>
      </c>
      <c r="J1540" s="19">
        <v>7389099225647920</v>
      </c>
    </row>
    <row r="1541" spans="8:10" ht="15" customHeight="1">
      <c r="H1541" s="23">
        <v>0.69375000000000009</v>
      </c>
      <c r="I1541" s="23">
        <v>8.2500000000000018E-2</v>
      </c>
      <c r="J1541" s="19">
        <v>7386925484810336</v>
      </c>
    </row>
    <row r="1542" spans="8:10" ht="15" customHeight="1">
      <c r="H1542" s="23">
        <v>0.69375000000000009</v>
      </c>
      <c r="I1542" s="23">
        <v>8.6250000000000007E-2</v>
      </c>
      <c r="J1542" s="19">
        <v>7384779012721216</v>
      </c>
    </row>
    <row r="1543" spans="8:10" ht="15" customHeight="1">
      <c r="H1543" s="23">
        <v>0.69375000000000009</v>
      </c>
      <c r="I1543" s="23">
        <v>9.0000000000000011E-2</v>
      </c>
      <c r="J1543" s="19">
        <v>7382656716180080</v>
      </c>
    </row>
    <row r="1544" spans="8:10" ht="15" customHeight="1">
      <c r="H1544" s="23">
        <v>0.69375000000000009</v>
      </c>
      <c r="I1544" s="23">
        <v>9.3750000000000014E-2</v>
      </c>
      <c r="J1544" s="19">
        <v>7380561482824560</v>
      </c>
    </row>
    <row r="1545" spans="8:10" ht="15" customHeight="1">
      <c r="H1545" s="23">
        <v>0.69375000000000009</v>
      </c>
      <c r="I1545" s="23">
        <v>9.7500000000000017E-2</v>
      </c>
      <c r="J1545" s="19">
        <v>7378490566063904</v>
      </c>
    </row>
    <row r="1546" spans="8:10" ht="15" customHeight="1">
      <c r="H1546" s="23">
        <v>0.69375000000000009</v>
      </c>
      <c r="I1546" s="23">
        <v>0.10125000000000002</v>
      </c>
      <c r="J1546" s="19">
        <v>7376446552431096</v>
      </c>
    </row>
    <row r="1547" spans="8:10" ht="15" customHeight="1">
      <c r="H1547" s="23">
        <v>0.69375000000000009</v>
      </c>
      <c r="I1547" s="23">
        <v>0.10500000000000001</v>
      </c>
      <c r="J1547" s="19">
        <v>7374426957736064</v>
      </c>
    </row>
    <row r="1548" spans="8:10" ht="15" customHeight="1">
      <c r="H1548" s="23">
        <v>0.69375000000000009</v>
      </c>
      <c r="I1548" s="23">
        <v>0.10875000000000001</v>
      </c>
      <c r="J1548" s="19">
        <v>7372434139595216</v>
      </c>
    </row>
    <row r="1549" spans="8:10" ht="15" customHeight="1">
      <c r="H1549" s="23">
        <v>0.69375000000000009</v>
      </c>
      <c r="I1549" s="23">
        <v>0.11250000000000002</v>
      </c>
      <c r="J1549" s="19">
        <v>7370465813284136</v>
      </c>
    </row>
    <row r="1550" spans="8:10" ht="15" customHeight="1">
      <c r="H1550" s="23">
        <v>0.69375000000000009</v>
      </c>
      <c r="I1550" s="23">
        <v>0.11625000000000002</v>
      </c>
      <c r="J1550" s="19">
        <v>7368524161980352</v>
      </c>
    </row>
    <row r="1551" spans="8:10" ht="15" customHeight="1">
      <c r="H1551" s="23">
        <v>0.69375000000000009</v>
      </c>
      <c r="I1551" s="23">
        <v>0.12000000000000002</v>
      </c>
      <c r="J1551" s="19">
        <v>7366607051540424</v>
      </c>
    </row>
    <row r="1552" spans="8:10" ht="15" customHeight="1">
      <c r="H1552" s="23">
        <v>0.69375000000000009</v>
      </c>
      <c r="I1552" s="23">
        <v>0.12375000000000001</v>
      </c>
      <c r="J1552" s="19">
        <v>7364716532900264</v>
      </c>
    </row>
    <row r="1553" spans="8:10" ht="15" customHeight="1">
      <c r="H1553" s="23">
        <v>0.69375000000000009</v>
      </c>
      <c r="I1553" s="23">
        <v>0.12750000000000003</v>
      </c>
      <c r="J1553" s="19">
        <v>7362850582875448</v>
      </c>
    </row>
    <row r="1554" spans="8:10" ht="15" customHeight="1">
      <c r="H1554" s="23">
        <v>0.69375000000000009</v>
      </c>
      <c r="I1554" s="23">
        <v>0.13125000000000003</v>
      </c>
      <c r="J1554" s="19">
        <v>7361011153844176</v>
      </c>
    </row>
    <row r="1555" spans="8:10" ht="15" customHeight="1">
      <c r="H1555" s="23">
        <v>0.69375000000000009</v>
      </c>
      <c r="I1555" s="23">
        <v>0.13500000000000001</v>
      </c>
      <c r="J1555" s="19">
        <v>7359196300877064</v>
      </c>
    </row>
    <row r="1556" spans="8:10" ht="15" customHeight="1">
      <c r="H1556" s="23">
        <v>0.69375000000000009</v>
      </c>
      <c r="I1556" s="23">
        <v>0.13875000000000001</v>
      </c>
      <c r="J1556" s="19">
        <v>7357407908406888</v>
      </c>
    </row>
    <row r="1557" spans="8:10" ht="15" customHeight="1">
      <c r="H1557" s="23">
        <v>0.69375000000000009</v>
      </c>
      <c r="I1557" s="23">
        <v>0.14250000000000002</v>
      </c>
      <c r="J1557" s="19">
        <v>7355644089680944</v>
      </c>
    </row>
    <row r="1558" spans="8:10" ht="15" customHeight="1">
      <c r="H1558" s="23">
        <v>0.69375000000000009</v>
      </c>
      <c r="I1558" s="23">
        <v>0.14625000000000002</v>
      </c>
      <c r="J1558" s="19">
        <v>7353906710399448</v>
      </c>
    </row>
    <row r="1559" spans="8:10" ht="15" customHeight="1">
      <c r="H1559" s="23">
        <v>0.69375000000000009</v>
      </c>
      <c r="I1559" s="23">
        <v>0.15000000000000002</v>
      </c>
      <c r="J1559" s="19">
        <v>7352193979011096</v>
      </c>
    </row>
    <row r="1560" spans="8:10" ht="15" customHeight="1">
      <c r="H1560" s="23">
        <v>0.71250000000000013</v>
      </c>
      <c r="I1560" s="23">
        <v>0</v>
      </c>
      <c r="J1560" s="19">
        <v>7436657522096688</v>
      </c>
    </row>
    <row r="1561" spans="8:10" ht="15" customHeight="1">
      <c r="H1561" s="23">
        <v>0.71250000000000013</v>
      </c>
      <c r="I1561" s="23">
        <v>3.7500000000000007E-3</v>
      </c>
      <c r="J1561" s="19">
        <v>7437154612359016</v>
      </c>
    </row>
    <row r="1562" spans="8:10" ht="15" customHeight="1">
      <c r="H1562" s="23">
        <v>0.71250000000000013</v>
      </c>
      <c r="I1562" s="23">
        <v>7.5000000000000015E-3</v>
      </c>
      <c r="J1562" s="19">
        <v>7435092237438760</v>
      </c>
    </row>
    <row r="1563" spans="8:10" ht="15" customHeight="1">
      <c r="H1563" s="23">
        <v>0.71250000000000013</v>
      </c>
      <c r="I1563" s="23">
        <v>1.1250000000000001E-2</v>
      </c>
      <c r="J1563" s="19">
        <v>7432676993835344</v>
      </c>
    </row>
    <row r="1564" spans="8:10" ht="15" customHeight="1">
      <c r="H1564" s="23">
        <v>0.71250000000000013</v>
      </c>
      <c r="I1564" s="23">
        <v>1.5000000000000003E-2</v>
      </c>
      <c r="J1564" s="19">
        <v>7430067804322904</v>
      </c>
    </row>
    <row r="1565" spans="8:10" ht="15" customHeight="1">
      <c r="H1565" s="23">
        <v>0.71250000000000013</v>
      </c>
      <c r="I1565" s="23">
        <v>1.8750000000000003E-2</v>
      </c>
      <c r="J1565" s="19">
        <v>7427474808556336</v>
      </c>
    </row>
    <row r="1566" spans="8:10" ht="15" customHeight="1">
      <c r="H1566" s="23">
        <v>0.71250000000000013</v>
      </c>
      <c r="I1566" s="23">
        <v>2.2500000000000003E-2</v>
      </c>
      <c r="J1566" s="19">
        <v>7424879603185392</v>
      </c>
    </row>
    <row r="1567" spans="8:10" ht="15" customHeight="1">
      <c r="H1567" s="23">
        <v>0.71250000000000013</v>
      </c>
      <c r="I1567" s="23">
        <v>2.6250000000000002E-2</v>
      </c>
      <c r="J1567" s="19">
        <v>7422327448430608</v>
      </c>
    </row>
    <row r="1568" spans="8:10" ht="15" customHeight="1">
      <c r="H1568" s="23">
        <v>0.71250000000000013</v>
      </c>
      <c r="I1568" s="23">
        <v>3.0000000000000006E-2</v>
      </c>
      <c r="J1568" s="19">
        <v>7419788567480952</v>
      </c>
    </row>
    <row r="1569" spans="8:10" ht="15" customHeight="1">
      <c r="H1569" s="23">
        <v>0.71250000000000013</v>
      </c>
      <c r="I1569" s="23">
        <v>3.3750000000000002E-2</v>
      </c>
      <c r="J1569" s="19">
        <v>7417285173240440</v>
      </c>
    </row>
    <row r="1570" spans="8:10" ht="15" customHeight="1">
      <c r="H1570" s="23">
        <v>0.71250000000000013</v>
      </c>
      <c r="I1570" s="23">
        <v>3.7500000000000006E-2</v>
      </c>
      <c r="J1570" s="19">
        <v>7414799903344040</v>
      </c>
    </row>
    <row r="1571" spans="8:10" ht="15" customHeight="1">
      <c r="H1571" s="23">
        <v>0.71250000000000013</v>
      </c>
      <c r="I1571" s="23">
        <v>4.1250000000000009E-2</v>
      </c>
      <c r="J1571" s="19">
        <v>7412346723955992</v>
      </c>
    </row>
    <row r="1572" spans="8:10" ht="15" customHeight="1">
      <c r="H1572" s="23">
        <v>0.71250000000000013</v>
      </c>
      <c r="I1572" s="23">
        <v>4.5000000000000005E-2</v>
      </c>
      <c r="J1572" s="19">
        <v>7409914085348552</v>
      </c>
    </row>
    <row r="1573" spans="8:10" ht="15" customHeight="1">
      <c r="H1573" s="23">
        <v>0.71250000000000013</v>
      </c>
      <c r="I1573" s="23">
        <v>4.8750000000000009E-2</v>
      </c>
      <c r="J1573" s="19">
        <v>7407511692933496</v>
      </c>
    </row>
    <row r="1574" spans="8:10" ht="15" customHeight="1">
      <c r="H1574" s="23">
        <v>0.71250000000000013</v>
      </c>
      <c r="I1574" s="23">
        <v>5.2500000000000005E-2</v>
      </c>
      <c r="J1574" s="19">
        <v>7405131216342344</v>
      </c>
    </row>
    <row r="1575" spans="8:10" ht="15" customHeight="1">
      <c r="H1575" s="23">
        <v>0.71250000000000013</v>
      </c>
      <c r="I1575" s="23">
        <v>5.6250000000000008E-2</v>
      </c>
      <c r="J1575" s="19">
        <v>7402779869384696</v>
      </c>
    </row>
    <row r="1576" spans="8:10" ht="15" customHeight="1">
      <c r="H1576" s="23">
        <v>0.71250000000000013</v>
      </c>
      <c r="I1576" s="23">
        <v>6.0000000000000012E-2</v>
      </c>
      <c r="J1576" s="19">
        <v>7400451289739896</v>
      </c>
    </row>
    <row r="1577" spans="8:10" ht="15" customHeight="1">
      <c r="H1577" s="23">
        <v>0.71250000000000013</v>
      </c>
      <c r="I1577" s="23">
        <v>6.3750000000000015E-2</v>
      </c>
      <c r="J1577" s="19">
        <v>7398151110902656</v>
      </c>
    </row>
    <row r="1578" spans="8:10" ht="15" customHeight="1">
      <c r="H1578" s="23">
        <v>0.71250000000000013</v>
      </c>
      <c r="I1578" s="23">
        <v>6.7500000000000004E-2</v>
      </c>
      <c r="J1578" s="19">
        <v>7395874258480968</v>
      </c>
    </row>
    <row r="1579" spans="8:10" ht="15" customHeight="1">
      <c r="H1579" s="23">
        <v>0.71250000000000013</v>
      </c>
      <c r="I1579" s="23">
        <v>7.1250000000000008E-2</v>
      </c>
      <c r="J1579" s="19">
        <v>7393625303954528</v>
      </c>
    </row>
    <row r="1580" spans="8:10" ht="15" customHeight="1">
      <c r="H1580" s="23">
        <v>0.71250000000000013</v>
      </c>
      <c r="I1580" s="23">
        <v>7.5000000000000011E-2</v>
      </c>
      <c r="J1580" s="19">
        <v>7391400058624232</v>
      </c>
    </row>
    <row r="1581" spans="8:10" ht="15" customHeight="1">
      <c r="H1581" s="23">
        <v>0.71250000000000013</v>
      </c>
      <c r="I1581" s="23">
        <v>7.8750000000000014E-2</v>
      </c>
      <c r="J1581" s="19">
        <v>7389202349132472</v>
      </c>
    </row>
    <row r="1582" spans="8:10" ht="15" customHeight="1">
      <c r="H1582" s="23">
        <v>0.71250000000000013</v>
      </c>
      <c r="I1582" s="23">
        <v>8.2500000000000018E-2</v>
      </c>
      <c r="J1582" s="19">
        <v>7387028618770232</v>
      </c>
    </row>
    <row r="1583" spans="8:10" ht="15" customHeight="1">
      <c r="H1583" s="23">
        <v>0.71250000000000013</v>
      </c>
      <c r="I1583" s="23">
        <v>8.6250000000000007E-2</v>
      </c>
      <c r="J1583" s="19">
        <v>7384882154889160</v>
      </c>
    </row>
    <row r="1584" spans="8:10" ht="15" customHeight="1">
      <c r="H1584" s="23">
        <v>0.71250000000000013</v>
      </c>
      <c r="I1584" s="23">
        <v>9.0000000000000011E-2</v>
      </c>
      <c r="J1584" s="19">
        <v>7382759864290544</v>
      </c>
    </row>
    <row r="1585" spans="8:10" ht="15" customHeight="1">
      <c r="H1585" s="23">
        <v>0.71250000000000013</v>
      </c>
      <c r="I1585" s="23">
        <v>9.3750000000000014E-2</v>
      </c>
      <c r="J1585" s="19">
        <v>7380664634646216</v>
      </c>
    </row>
    <row r="1586" spans="8:10" ht="15" customHeight="1">
      <c r="H1586" s="23">
        <v>0.71250000000000013</v>
      </c>
      <c r="I1586" s="23">
        <v>9.7500000000000017E-2</v>
      </c>
      <c r="J1586" s="19">
        <v>7378593719467336</v>
      </c>
    </row>
    <row r="1587" spans="8:10" ht="15" customHeight="1">
      <c r="H1587" s="23">
        <v>0.71250000000000013</v>
      </c>
      <c r="I1587" s="23">
        <v>0.10125000000000002</v>
      </c>
      <c r="J1587" s="19">
        <v>7376549705483152</v>
      </c>
    </row>
    <row r="1588" spans="8:10" ht="15" customHeight="1">
      <c r="H1588" s="23">
        <v>0.71250000000000013</v>
      </c>
      <c r="I1588" s="23">
        <v>0.10500000000000001</v>
      </c>
      <c r="J1588" s="19">
        <v>7374530108868904</v>
      </c>
    </row>
    <row r="1589" spans="8:10" ht="15" customHeight="1">
      <c r="H1589" s="23">
        <v>0.71250000000000013</v>
      </c>
      <c r="I1589" s="23">
        <v>0.10875000000000001</v>
      </c>
      <c r="J1589" s="19">
        <v>7372537287869472</v>
      </c>
    </row>
    <row r="1590" spans="8:10" ht="15" customHeight="1">
      <c r="H1590" s="23">
        <v>0.71250000000000013</v>
      </c>
      <c r="I1590" s="23">
        <v>0.11250000000000002</v>
      </c>
      <c r="J1590" s="19">
        <v>7370568958828472</v>
      </c>
    </row>
    <row r="1591" spans="8:10" ht="15" customHeight="1">
      <c r="H1591" s="23">
        <v>0.71250000000000013</v>
      </c>
      <c r="I1591" s="23">
        <v>0.11625000000000002</v>
      </c>
      <c r="J1591" s="19">
        <v>7368627306681832</v>
      </c>
    </row>
    <row r="1592" spans="8:10" ht="15" customHeight="1">
      <c r="H1592" s="23">
        <v>0.71250000000000013</v>
      </c>
      <c r="I1592" s="23">
        <v>0.12000000000000002</v>
      </c>
      <c r="J1592" s="19">
        <v>7366710200129032</v>
      </c>
    </row>
    <row r="1593" spans="8:10" ht="15" customHeight="1">
      <c r="H1593" s="23">
        <v>0.71250000000000013</v>
      </c>
      <c r="I1593" s="23">
        <v>0.12375000000000001</v>
      </c>
      <c r="J1593" s="19">
        <v>7364819694562952</v>
      </c>
    </row>
    <row r="1594" spans="8:10" ht="15" customHeight="1">
      <c r="H1594" s="23">
        <v>0.71250000000000013</v>
      </c>
      <c r="I1594" s="23">
        <v>0.12750000000000003</v>
      </c>
      <c r="J1594" s="19">
        <v>7362953773531696</v>
      </c>
    </row>
    <row r="1595" spans="8:10" ht="15" customHeight="1">
      <c r="H1595" s="23">
        <v>0.71250000000000013</v>
      </c>
      <c r="I1595" s="23">
        <v>0.13125000000000003</v>
      </c>
      <c r="J1595" s="19">
        <v>7361114398984536</v>
      </c>
    </row>
    <row r="1596" spans="8:10" ht="15" customHeight="1">
      <c r="H1596" s="23">
        <v>0.71250000000000013</v>
      </c>
      <c r="I1596" s="23">
        <v>0.13500000000000001</v>
      </c>
      <c r="J1596" s="19">
        <v>7359299638243792</v>
      </c>
    </row>
    <row r="1597" spans="8:10" ht="15" customHeight="1">
      <c r="H1597" s="23">
        <v>0.71250000000000013</v>
      </c>
      <c r="I1597" s="23">
        <v>0.13875000000000001</v>
      </c>
      <c r="J1597" s="19">
        <v>7357511388048464</v>
      </c>
    </row>
    <row r="1598" spans="8:10" ht="15" customHeight="1">
      <c r="H1598" s="23">
        <v>0.71250000000000013</v>
      </c>
      <c r="I1598" s="23">
        <v>0.14250000000000002</v>
      </c>
      <c r="J1598" s="19">
        <v>7355747764775120</v>
      </c>
    </row>
    <row r="1599" spans="8:10" ht="15" customHeight="1">
      <c r="H1599" s="23">
        <v>0.71250000000000013</v>
      </c>
      <c r="I1599" s="23">
        <v>0.14625000000000002</v>
      </c>
      <c r="J1599" s="19">
        <v>7354010602637176</v>
      </c>
    </row>
    <row r="1600" spans="8:10" ht="15" customHeight="1">
      <c r="H1600" s="23">
        <v>0.71250000000000013</v>
      </c>
      <c r="I1600" s="23">
        <v>0.15000000000000002</v>
      </c>
      <c r="J1600" s="19">
        <v>7352297981116120</v>
      </c>
    </row>
    <row r="1601" spans="8:10" ht="15" customHeight="1">
      <c r="H1601" s="23">
        <v>0.73125000000000007</v>
      </c>
      <c r="I1601" s="23">
        <v>0</v>
      </c>
      <c r="J1601" s="19">
        <v>7436719078220080</v>
      </c>
    </row>
    <row r="1602" spans="8:10" ht="15" customHeight="1">
      <c r="H1602" s="23">
        <v>0.73125000000000007</v>
      </c>
      <c r="I1602" s="23">
        <v>3.7500000000000007E-3</v>
      </c>
      <c r="J1602" s="19">
        <v>7437216179468416</v>
      </c>
    </row>
    <row r="1603" spans="8:10" ht="15" customHeight="1">
      <c r="H1603" s="23">
        <v>0.73125000000000007</v>
      </c>
      <c r="I1603" s="23">
        <v>7.5000000000000015E-3</v>
      </c>
      <c r="J1603" s="19">
        <v>7435153818270568</v>
      </c>
    </row>
    <row r="1604" spans="8:10" ht="15" customHeight="1">
      <c r="H1604" s="23">
        <v>0.73125000000000007</v>
      </c>
      <c r="I1604" s="23">
        <v>1.1250000000000001E-2</v>
      </c>
      <c r="J1604" s="19">
        <v>7432738589619592</v>
      </c>
    </row>
    <row r="1605" spans="8:10" ht="15" customHeight="1">
      <c r="H1605" s="23">
        <v>0.73125000000000007</v>
      </c>
      <c r="I1605" s="23">
        <v>1.5000000000000003E-2</v>
      </c>
      <c r="J1605" s="19">
        <v>7430129416003544</v>
      </c>
    </row>
    <row r="1606" spans="8:10" ht="15" customHeight="1">
      <c r="H1606" s="23">
        <v>0.73125000000000007</v>
      </c>
      <c r="I1606" s="23">
        <v>1.8750000000000003E-2</v>
      </c>
      <c r="J1606" s="19">
        <v>7427536436743800</v>
      </c>
    </row>
    <row r="1607" spans="8:10" ht="15" customHeight="1">
      <c r="H1607" s="23">
        <v>0.73125000000000007</v>
      </c>
      <c r="I1607" s="23">
        <v>2.2500000000000003E-2</v>
      </c>
      <c r="J1607" s="19">
        <v>7424941248299208</v>
      </c>
    </row>
    <row r="1608" spans="8:10" ht="15" customHeight="1">
      <c r="H1608" s="23">
        <v>0.73125000000000007</v>
      </c>
      <c r="I1608" s="23">
        <v>2.6250000000000002E-2</v>
      </c>
      <c r="J1608" s="19">
        <v>7422389110669632</v>
      </c>
    </row>
    <row r="1609" spans="8:10" ht="15" customHeight="1">
      <c r="H1609" s="23">
        <v>0.73125000000000007</v>
      </c>
      <c r="I1609" s="23">
        <v>3.0000000000000006E-2</v>
      </c>
      <c r="J1609" s="19">
        <v>7419850246883256</v>
      </c>
    </row>
    <row r="1610" spans="8:10" ht="15" customHeight="1">
      <c r="H1610" s="23">
        <v>0.73125000000000007</v>
      </c>
      <c r="I1610" s="23">
        <v>3.3750000000000002E-2</v>
      </c>
      <c r="J1610" s="19">
        <v>7417346869665168</v>
      </c>
    </row>
    <row r="1611" spans="8:10" ht="15" customHeight="1">
      <c r="H1611" s="23">
        <v>0.73125000000000007</v>
      </c>
      <c r="I1611" s="23">
        <v>3.7500000000000006E-2</v>
      </c>
      <c r="J1611" s="19">
        <v>7414861616510432</v>
      </c>
    </row>
    <row r="1612" spans="8:10" ht="15" customHeight="1">
      <c r="H1612" s="23">
        <v>0.73125000000000007</v>
      </c>
      <c r="I1612" s="23">
        <v>4.1250000000000009E-2</v>
      </c>
      <c r="J1612" s="19">
        <v>7412408453438008</v>
      </c>
    </row>
    <row r="1613" spans="8:10" ht="15" customHeight="1">
      <c r="H1613" s="23">
        <v>0.73125000000000007</v>
      </c>
      <c r="I1613" s="23">
        <v>4.5000000000000005E-2</v>
      </c>
      <c r="J1613" s="19">
        <v>7409975830603080</v>
      </c>
    </row>
    <row r="1614" spans="8:10" ht="15" customHeight="1">
      <c r="H1614" s="23">
        <v>0.73125000000000007</v>
      </c>
      <c r="I1614" s="23">
        <v>4.8750000000000009E-2</v>
      </c>
      <c r="J1614" s="19">
        <v>7407573453299608</v>
      </c>
    </row>
    <row r="1615" spans="8:10" ht="15" customHeight="1">
      <c r="H1615" s="23">
        <v>0.73125000000000007</v>
      </c>
      <c r="I1615" s="23">
        <v>5.2500000000000005E-2</v>
      </c>
      <c r="J1615" s="19">
        <v>7405192991062760</v>
      </c>
    </row>
    <row r="1616" spans="8:10" ht="15" customHeight="1">
      <c r="H1616" s="23">
        <v>0.73125000000000007</v>
      </c>
      <c r="I1616" s="23">
        <v>5.6250000000000008E-2</v>
      </c>
      <c r="J1616" s="19">
        <v>7402841657606704</v>
      </c>
    </row>
    <row r="1617" spans="8:10" ht="15" customHeight="1">
      <c r="H1617" s="23">
        <v>0.73125000000000007</v>
      </c>
      <c r="I1617" s="23">
        <v>6.0000000000000012E-2</v>
      </c>
      <c r="J1617" s="19">
        <v>7400513090532056</v>
      </c>
    </row>
    <row r="1618" spans="8:10" ht="15" customHeight="1">
      <c r="H1618" s="23">
        <v>0.73125000000000007</v>
      </c>
      <c r="I1618" s="23">
        <v>6.3750000000000015E-2</v>
      </c>
      <c r="J1618" s="19">
        <v>7398212923256304</v>
      </c>
    </row>
    <row r="1619" spans="8:10" ht="15" customHeight="1">
      <c r="H1619" s="23">
        <v>0.73125000000000007</v>
      </c>
      <c r="I1619" s="23">
        <v>6.7500000000000004E-2</v>
      </c>
      <c r="J1619" s="19">
        <v>7395936081323528</v>
      </c>
    </row>
    <row r="1620" spans="8:10" ht="15" customHeight="1">
      <c r="H1620" s="23">
        <v>0.73125000000000007</v>
      </c>
      <c r="I1620" s="23">
        <v>7.1250000000000008E-2</v>
      </c>
      <c r="J1620" s="19">
        <v>7393687136149928</v>
      </c>
    </row>
    <row r="1621" spans="8:10" ht="15" customHeight="1">
      <c r="H1621" s="23">
        <v>0.73125000000000007</v>
      </c>
      <c r="I1621" s="23">
        <v>7.5000000000000011E-2</v>
      </c>
      <c r="J1621" s="19">
        <v>7391461898983336</v>
      </c>
    </row>
    <row r="1622" spans="8:10" ht="15" customHeight="1">
      <c r="H1622" s="23">
        <v>0.73125000000000007</v>
      </c>
      <c r="I1622" s="23">
        <v>7.8750000000000014E-2</v>
      </c>
      <c r="J1622" s="19">
        <v>7389264196411104</v>
      </c>
    </row>
    <row r="1623" spans="8:10" ht="15" customHeight="1">
      <c r="H1623" s="23">
        <v>0.73125000000000007</v>
      </c>
      <c r="I1623" s="23">
        <v>8.2500000000000018E-2</v>
      </c>
      <c r="J1623" s="19">
        <v>7387090471673784</v>
      </c>
    </row>
    <row r="1624" spans="8:10" ht="15" customHeight="1">
      <c r="H1624" s="23">
        <v>0.73125000000000007</v>
      </c>
      <c r="I1624" s="23">
        <v>8.6250000000000007E-2</v>
      </c>
      <c r="J1624" s="19">
        <v>7384944012064344</v>
      </c>
    </row>
    <row r="1625" spans="8:10" ht="15" customHeight="1">
      <c r="H1625" s="23">
        <v>0.73125000000000007</v>
      </c>
      <c r="I1625" s="23">
        <v>9.0000000000000011E-2</v>
      </c>
      <c r="J1625" s="19">
        <v>7382821724316856</v>
      </c>
    </row>
    <row r="1626" spans="8:10" ht="15" customHeight="1">
      <c r="H1626" s="23">
        <v>0.73125000000000007</v>
      </c>
      <c r="I1626" s="23">
        <v>9.3750000000000014E-2</v>
      </c>
      <c r="J1626" s="19">
        <v>7380726496006768</v>
      </c>
    </row>
    <row r="1627" spans="8:10" ht="15" customHeight="1">
      <c r="H1627" s="23">
        <v>0.73125000000000007</v>
      </c>
      <c r="I1627" s="23">
        <v>9.7500000000000017E-2</v>
      </c>
      <c r="J1627" s="19">
        <v>7378655580504464</v>
      </c>
    </row>
    <row r="1628" spans="8:10" ht="15" customHeight="1">
      <c r="H1628" s="23">
        <v>0.73125000000000007</v>
      </c>
      <c r="I1628" s="23">
        <v>0.10125000000000002</v>
      </c>
      <c r="J1628" s="19">
        <v>7376611564309448</v>
      </c>
    </row>
    <row r="1629" spans="8:10" ht="15" customHeight="1">
      <c r="H1629" s="23">
        <v>0.73125000000000007</v>
      </c>
      <c r="I1629" s="23">
        <v>0.10500000000000001</v>
      </c>
      <c r="J1629" s="19">
        <v>7374591963221696</v>
      </c>
    </row>
    <row r="1630" spans="8:10" ht="15" customHeight="1">
      <c r="H1630" s="23">
        <v>0.73125000000000007</v>
      </c>
      <c r="I1630" s="23">
        <v>0.10875000000000001</v>
      </c>
      <c r="J1630" s="19">
        <v>7372599134856280</v>
      </c>
    </row>
    <row r="1631" spans="8:10" ht="15" customHeight="1">
      <c r="H1631" s="23">
        <v>0.73125000000000007</v>
      </c>
      <c r="I1631" s="23">
        <v>0.11250000000000002</v>
      </c>
      <c r="J1631" s="19">
        <v>7370630794513352</v>
      </c>
    </row>
    <row r="1632" spans="8:10" ht="15" customHeight="1">
      <c r="H1632" s="23">
        <v>0.73125000000000007</v>
      </c>
      <c r="I1632" s="23">
        <v>0.11625000000000002</v>
      </c>
      <c r="J1632" s="19">
        <v>7368689125409344</v>
      </c>
    </row>
    <row r="1633" spans="8:10" ht="15" customHeight="1">
      <c r="H1633" s="23">
        <v>0.73125000000000007</v>
      </c>
      <c r="I1633" s="23">
        <v>0.12000000000000002</v>
      </c>
      <c r="J1633" s="19">
        <v>7366771993470968</v>
      </c>
    </row>
    <row r="1634" spans="8:10" ht="15" customHeight="1">
      <c r="H1634" s="23">
        <v>0.73125000000000007</v>
      </c>
      <c r="I1634" s="23">
        <v>0.12375000000000001</v>
      </c>
      <c r="J1634" s="19">
        <v>7364881449727736</v>
      </c>
    </row>
    <row r="1635" spans="8:10" ht="15" customHeight="1">
      <c r="H1635" s="23">
        <v>0.73125000000000007</v>
      </c>
      <c r="I1635" s="23">
        <v>0.12750000000000003</v>
      </c>
      <c r="J1635" s="19">
        <v>7363015471130184</v>
      </c>
    </row>
    <row r="1636" spans="8:10" ht="15" customHeight="1">
      <c r="H1636" s="23">
        <v>0.73125000000000007</v>
      </c>
      <c r="I1636" s="23">
        <v>0.13125000000000003</v>
      </c>
      <c r="J1636" s="19">
        <v>7361176010225664</v>
      </c>
    </row>
    <row r="1637" spans="8:10" ht="15" customHeight="1">
      <c r="H1637" s="23">
        <v>0.73125000000000007</v>
      </c>
      <c r="I1637" s="23">
        <v>0.13500000000000001</v>
      </c>
      <c r="J1637" s="19">
        <v>7359361122301528</v>
      </c>
    </row>
    <row r="1638" spans="8:10" ht="15" customHeight="1">
      <c r="H1638" s="23">
        <v>0.73125000000000007</v>
      </c>
      <c r="I1638" s="23">
        <v>0.13875000000000001</v>
      </c>
      <c r="J1638" s="19">
        <v>7357572692028032</v>
      </c>
    </row>
    <row r="1639" spans="8:10" ht="15" customHeight="1">
      <c r="H1639" s="23">
        <v>0.73125000000000007</v>
      </c>
      <c r="I1639" s="23">
        <v>0.14250000000000002</v>
      </c>
      <c r="J1639" s="19">
        <v>7355808832867328</v>
      </c>
    </row>
    <row r="1640" spans="8:10" ht="15" customHeight="1">
      <c r="H1640" s="23">
        <v>0.73125000000000007</v>
      </c>
      <c r="I1640" s="23">
        <v>0.14625000000000002</v>
      </c>
      <c r="J1640" s="19">
        <v>7354071410544512</v>
      </c>
    </row>
    <row r="1641" spans="8:10" ht="15" customHeight="1">
      <c r="H1641" s="23">
        <v>0.73125000000000007</v>
      </c>
      <c r="I1641" s="23">
        <v>0.15000000000000002</v>
      </c>
      <c r="J1641" s="19">
        <v>7352358632969096</v>
      </c>
    </row>
    <row r="1642" spans="8:10" ht="15" customHeight="1">
      <c r="H1642" s="23">
        <v>0.75000000000000011</v>
      </c>
      <c r="I1642" s="23">
        <v>0</v>
      </c>
      <c r="J1642" s="19">
        <v>7436739603375256</v>
      </c>
    </row>
    <row r="1643" spans="8:10" ht="15" customHeight="1">
      <c r="H1643" s="23">
        <v>0.75000000000000011</v>
      </c>
      <c r="I1643" s="23">
        <v>3.7500000000000007E-3</v>
      </c>
      <c r="J1643" s="19">
        <v>7437236706459168</v>
      </c>
    </row>
    <row r="1644" spans="8:10" ht="15" customHeight="1">
      <c r="H1644" s="23">
        <v>0.75000000000000011</v>
      </c>
      <c r="I1644" s="23">
        <v>7.5000000000000015E-3</v>
      </c>
      <c r="J1644" s="19">
        <v>7435174348513728</v>
      </c>
    </row>
    <row r="1645" spans="8:10" ht="15" customHeight="1">
      <c r="H1645" s="23">
        <v>0.75000000000000011</v>
      </c>
      <c r="I1645" s="23">
        <v>1.1250000000000001E-2</v>
      </c>
      <c r="J1645" s="19">
        <v>7432759123820896</v>
      </c>
    </row>
    <row r="1646" spans="8:10" ht="15" customHeight="1">
      <c r="H1646" s="23">
        <v>0.75000000000000011</v>
      </c>
      <c r="I1646" s="23">
        <v>1.5000000000000003E-2</v>
      </c>
      <c r="J1646" s="19">
        <v>7430149954661392</v>
      </c>
    </row>
    <row r="1647" spans="8:10" ht="15" customHeight="1">
      <c r="H1647" s="23">
        <v>0.75000000000000011</v>
      </c>
      <c r="I1647" s="23">
        <v>1.8750000000000003E-2</v>
      </c>
      <c r="J1647" s="19">
        <v>7427556980184824</v>
      </c>
    </row>
    <row r="1648" spans="8:10" ht="15" customHeight="1">
      <c r="H1648" s="23">
        <v>0.75000000000000011</v>
      </c>
      <c r="I1648" s="23">
        <v>2.2500000000000003E-2</v>
      </c>
      <c r="J1648" s="19">
        <v>7424961796752888</v>
      </c>
    </row>
    <row r="1649" spans="8:10" ht="15" customHeight="1">
      <c r="H1649" s="23">
        <v>0.75000000000000011</v>
      </c>
      <c r="I1649" s="23">
        <v>2.6250000000000002E-2</v>
      </c>
      <c r="J1649" s="19">
        <v>7422409664272344</v>
      </c>
    </row>
    <row r="1650" spans="8:10" ht="15" customHeight="1">
      <c r="H1650" s="23">
        <v>0.75000000000000011</v>
      </c>
      <c r="I1650" s="23">
        <v>3.0000000000000006E-2</v>
      </c>
      <c r="J1650" s="19">
        <v>7419870805705640</v>
      </c>
    </row>
    <row r="1651" spans="8:10" ht="15" customHeight="1">
      <c r="H1651" s="23">
        <v>0.75000000000000011</v>
      </c>
      <c r="I1651" s="23">
        <v>3.3750000000000002E-2</v>
      </c>
      <c r="J1651" s="19">
        <v>7417367433710440</v>
      </c>
    </row>
    <row r="1652" spans="8:10" ht="15" customHeight="1">
      <c r="H1652" s="23">
        <v>0.75000000000000011</v>
      </c>
      <c r="I1652" s="23">
        <v>3.7500000000000006E-2</v>
      </c>
      <c r="J1652" s="19">
        <v>7414882185729432</v>
      </c>
    </row>
    <row r="1653" spans="8:10" ht="15" customHeight="1">
      <c r="H1653" s="23">
        <v>0.75000000000000011</v>
      </c>
      <c r="I1653" s="23">
        <v>4.1250000000000009E-2</v>
      </c>
      <c r="J1653" s="19">
        <v>7412429027728400</v>
      </c>
    </row>
    <row r="1654" spans="8:10" ht="15" customHeight="1">
      <c r="H1654" s="23">
        <v>0.75000000000000011</v>
      </c>
      <c r="I1654" s="23">
        <v>4.5000000000000005E-2</v>
      </c>
      <c r="J1654" s="19">
        <v>7409996409820032</v>
      </c>
    </row>
    <row r="1655" spans="8:10" ht="15" customHeight="1">
      <c r="H1655" s="23">
        <v>0.75000000000000011</v>
      </c>
      <c r="I1655" s="23">
        <v>4.8750000000000009E-2</v>
      </c>
      <c r="J1655" s="19">
        <v>7407594037255736</v>
      </c>
    </row>
    <row r="1656" spans="8:10" ht="15" customHeight="1">
      <c r="H1656" s="23">
        <v>0.75000000000000011</v>
      </c>
      <c r="I1656" s="23">
        <v>5.2500000000000005E-2</v>
      </c>
      <c r="J1656" s="19">
        <v>7405213579536096</v>
      </c>
    </row>
    <row r="1657" spans="8:10" ht="15" customHeight="1">
      <c r="H1657" s="23">
        <v>0.75000000000000011</v>
      </c>
      <c r="I1657" s="23">
        <v>5.6250000000000008E-2</v>
      </c>
      <c r="J1657" s="19">
        <v>7402862250341016</v>
      </c>
    </row>
    <row r="1658" spans="8:10" ht="15" customHeight="1">
      <c r="H1658" s="23">
        <v>0.75000000000000011</v>
      </c>
      <c r="I1658" s="23">
        <v>6.0000000000000012E-2</v>
      </c>
      <c r="J1658" s="19">
        <v>7400533687243752</v>
      </c>
    </row>
    <row r="1659" spans="8:10" ht="15" customHeight="1">
      <c r="H1659" s="23">
        <v>0.75000000000000011</v>
      </c>
      <c r="I1659" s="23">
        <v>6.3750000000000015E-2</v>
      </c>
      <c r="J1659" s="19">
        <v>7398233523634768</v>
      </c>
    </row>
    <row r="1660" spans="8:10" ht="15" customHeight="1">
      <c r="H1660" s="23">
        <v>0.75000000000000011</v>
      </c>
      <c r="I1660" s="23">
        <v>6.7500000000000004E-2</v>
      </c>
      <c r="J1660" s="19">
        <v>7395956685037440</v>
      </c>
    </row>
    <row r="1661" spans="8:10" ht="15" customHeight="1">
      <c r="H1661" s="23">
        <v>0.75000000000000011</v>
      </c>
      <c r="I1661" s="23">
        <v>7.1250000000000008E-2</v>
      </c>
      <c r="J1661" s="19">
        <v>7393707742848544</v>
      </c>
    </row>
    <row r="1662" spans="8:10" ht="15" customHeight="1">
      <c r="H1662" s="23">
        <v>0.75000000000000011</v>
      </c>
      <c r="I1662" s="23">
        <v>7.5000000000000011E-2</v>
      </c>
      <c r="J1662" s="19">
        <v>7391482508302880</v>
      </c>
    </row>
    <row r="1663" spans="8:10" ht="15" customHeight="1">
      <c r="H1663" s="23">
        <v>0.75000000000000011</v>
      </c>
      <c r="I1663" s="23">
        <v>7.8750000000000014E-2</v>
      </c>
      <c r="J1663" s="19">
        <v>7389284807978824</v>
      </c>
    </row>
    <row r="1664" spans="8:10" ht="15" customHeight="1">
      <c r="H1664" s="23">
        <v>0.75000000000000011</v>
      </c>
      <c r="I1664" s="23">
        <v>8.2500000000000018E-2</v>
      </c>
      <c r="J1664" s="19">
        <v>7387111085118024</v>
      </c>
    </row>
    <row r="1665" spans="8:10" ht="15" customHeight="1">
      <c r="H1665" s="23">
        <v>0.75000000000000011</v>
      </c>
      <c r="I1665" s="23">
        <v>8.6250000000000007E-2</v>
      </c>
      <c r="J1665" s="19">
        <v>7384964627025240</v>
      </c>
    </row>
    <row r="1666" spans="8:10" ht="15" customHeight="1">
      <c r="H1666" s="23">
        <v>0.75000000000000011</v>
      </c>
      <c r="I1666" s="23">
        <v>9.0000000000000011E-2</v>
      </c>
      <c r="J1666" s="19">
        <v>7382842340467984</v>
      </c>
    </row>
    <row r="1667" spans="8:10" ht="15" customHeight="1">
      <c r="H1667" s="23">
        <v>0.75000000000000011</v>
      </c>
      <c r="I1667" s="23">
        <v>9.3750000000000014E-2</v>
      </c>
      <c r="J1667" s="19">
        <v>7380747113087496</v>
      </c>
    </row>
    <row r="1668" spans="8:10" ht="15" customHeight="1">
      <c r="H1668" s="23">
        <v>0.75000000000000011</v>
      </c>
      <c r="I1668" s="23">
        <v>9.7500000000000017E-2</v>
      </c>
      <c r="J1668" s="19">
        <v>7378676198376416</v>
      </c>
    </row>
    <row r="1669" spans="8:10" ht="15" customHeight="1">
      <c r="H1669" s="23">
        <v>0.75000000000000011</v>
      </c>
      <c r="I1669" s="23">
        <v>0.10125000000000002</v>
      </c>
      <c r="J1669" s="19">
        <v>7376632183049672</v>
      </c>
    </row>
    <row r="1670" spans="8:10" ht="15" customHeight="1">
      <c r="H1670" s="23">
        <v>0.75000000000000011</v>
      </c>
      <c r="I1670" s="23">
        <v>0.10500000000000001</v>
      </c>
      <c r="J1670" s="19">
        <v>7374612583279632</v>
      </c>
    </row>
    <row r="1671" spans="8:10" ht="15" customHeight="1">
      <c r="H1671" s="23">
        <v>0.75000000000000011</v>
      </c>
      <c r="I1671" s="23">
        <v>0.10875000000000001</v>
      </c>
      <c r="J1671" s="19">
        <v>7372619757312792</v>
      </c>
    </row>
    <row r="1672" spans="8:10" ht="15" customHeight="1">
      <c r="H1672" s="23">
        <v>0.75000000000000011</v>
      </c>
      <c r="I1672" s="23">
        <v>0.11250000000000002</v>
      </c>
      <c r="J1672" s="19">
        <v>7370651421506336</v>
      </c>
    </row>
    <row r="1673" spans="8:10" ht="15" customHeight="1">
      <c r="H1673" s="23">
        <v>0.75000000000000011</v>
      </c>
      <c r="I1673" s="23">
        <v>0.11625000000000002</v>
      </c>
      <c r="J1673" s="19">
        <v>7368709760813528</v>
      </c>
    </row>
    <row r="1674" spans="8:10" ht="15" customHeight="1">
      <c r="H1674" s="23">
        <v>0.75000000000000011</v>
      </c>
      <c r="I1674" s="23">
        <v>0.12000000000000002</v>
      </c>
      <c r="J1674" s="19">
        <v>7366792643962672</v>
      </c>
    </row>
    <row r="1675" spans="8:10" ht="15" customHeight="1">
      <c r="H1675" s="23">
        <v>0.75000000000000011</v>
      </c>
      <c r="I1675" s="23">
        <v>0.12375000000000001</v>
      </c>
      <c r="J1675" s="19">
        <v>7364902126378184</v>
      </c>
    </row>
    <row r="1676" spans="8:10" ht="15" customHeight="1">
      <c r="H1676" s="23">
        <v>0.75000000000000011</v>
      </c>
      <c r="I1676" s="23">
        <v>0.12750000000000003</v>
      </c>
      <c r="J1676" s="19">
        <v>7363036191649192</v>
      </c>
    </row>
    <row r="1677" spans="8:10" ht="15" customHeight="1">
      <c r="H1677" s="23">
        <v>0.75000000000000011</v>
      </c>
      <c r="I1677" s="23">
        <v>0.13125000000000003</v>
      </c>
      <c r="J1677" s="19">
        <v>7361196801767936</v>
      </c>
    </row>
    <row r="1678" spans="8:10" ht="15" customHeight="1">
      <c r="H1678" s="23">
        <v>0.75000000000000011</v>
      </c>
      <c r="I1678" s="23">
        <v>0.13500000000000001</v>
      </c>
      <c r="J1678" s="19">
        <v>7359382024109752</v>
      </c>
    </row>
    <row r="1679" spans="8:10" ht="15" customHeight="1">
      <c r="H1679" s="23">
        <v>0.75000000000000011</v>
      </c>
      <c r="I1679" s="23">
        <v>0.13875000000000001</v>
      </c>
      <c r="J1679" s="19">
        <v>7357593755480472</v>
      </c>
    </row>
    <row r="1680" spans="8:10" ht="15" customHeight="1">
      <c r="H1680" s="23">
        <v>0.75000000000000011</v>
      </c>
      <c r="I1680" s="23">
        <v>0.14250000000000002</v>
      </c>
      <c r="J1680" s="19">
        <v>7355830112374056</v>
      </c>
    </row>
    <row r="1681" spans="8:10" ht="15" customHeight="1">
      <c r="H1681" s="23">
        <v>0.75000000000000011</v>
      </c>
      <c r="I1681" s="23">
        <v>0.14625000000000002</v>
      </c>
      <c r="J1681" s="19">
        <v>7354092929246088</v>
      </c>
    </row>
    <row r="1682" spans="8:10" ht="15" customHeight="1">
      <c r="H1682" s="23">
        <v>0.75000000000000011</v>
      </c>
      <c r="I1682" s="23">
        <v>0.15000000000000002</v>
      </c>
      <c r="J1682" s="19">
        <v>7352380286146408</v>
      </c>
    </row>
  </sheetData>
  <mergeCells count="1">
    <mergeCell ref="K26:K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30" r:id="rId4" name="Button 14">
              <controlPr defaultSize="0" print="0" autoFill="0" autoPict="0" macro="[0]!Save3d">
                <anchor moveWithCells="1" sizeWithCells="1">
                  <from>
                    <xdr:col>10</xdr:col>
                    <xdr:colOff>66675</xdr:colOff>
                    <xdr:row>25</xdr:row>
                    <xdr:rowOff>66675</xdr:rowOff>
                  </from>
                  <to>
                    <xdr:col>10</xdr:col>
                    <xdr:colOff>790575</xdr:colOff>
                    <xdr:row>27</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DEF8F-1D95-4BE3-AC70-7BF1FC33191C}">
  <sheetPr codeName="Sheet6"/>
  <dimension ref="A1:V4"/>
  <sheetViews>
    <sheetView zoomScaleNormal="100" workbookViewId="0">
      <selection activeCell="S14" sqref="L10:S14"/>
    </sheetView>
  </sheetViews>
  <sheetFormatPr defaultColWidth="8.85546875" defaultRowHeight="15"/>
  <sheetData>
    <row r="1" spans="1:22">
      <c r="A1" s="139" t="s">
        <v>238</v>
      </c>
      <c r="B1" s="2" t="s">
        <v>232</v>
      </c>
      <c r="C1" s="2"/>
      <c r="D1" s="2"/>
      <c r="E1" s="2"/>
      <c r="F1" s="2"/>
      <c r="G1" s="2"/>
      <c r="H1" s="2"/>
      <c r="I1" s="2"/>
      <c r="J1" s="2"/>
      <c r="K1" s="2"/>
      <c r="L1" s="2"/>
      <c r="M1" s="2"/>
      <c r="N1" s="2"/>
      <c r="O1" s="169" t="s">
        <v>229</v>
      </c>
      <c r="P1" s="169"/>
      <c r="Q1" s="2"/>
      <c r="R1" s="2"/>
      <c r="S1" s="2"/>
      <c r="T1" s="2"/>
      <c r="U1" s="2"/>
      <c r="V1" s="2"/>
    </row>
    <row r="2" spans="1:22">
      <c r="A2" s="182"/>
    </row>
    <row r="3" spans="1:22">
      <c r="A3" s="182"/>
    </row>
    <row r="4" spans="1:22">
      <c r="A4" s="18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CreateImage">
                <anchor moveWithCells="1" sizeWithCells="1">
                  <from>
                    <xdr:col>0</xdr:col>
                    <xdr:colOff>66675</xdr:colOff>
                    <xdr:row>1</xdr:row>
                    <xdr:rowOff>28575</xdr:rowOff>
                  </from>
                  <to>
                    <xdr:col>0</xdr:col>
                    <xdr:colOff>571500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B8A5C-A41A-4A7F-AE86-208C6BEBA748}">
  <sheetPr codeName="Sheet8"/>
  <dimension ref="A1:AC173"/>
  <sheetViews>
    <sheetView topLeftCell="A6" zoomScale="119" workbookViewId="0">
      <selection activeCell="A11" sqref="A11"/>
    </sheetView>
  </sheetViews>
  <sheetFormatPr defaultColWidth="8.85546875" defaultRowHeight="15"/>
  <cols>
    <col min="2" max="3" width="9" customWidth="1"/>
    <col min="5" max="5" width="9" customWidth="1"/>
    <col min="8" max="8" width="9.140625" customWidth="1"/>
    <col min="11" max="11" width="9" customWidth="1"/>
    <col min="14" max="16" width="9" customWidth="1"/>
    <col min="17" max="17" width="9" style="4" customWidth="1"/>
    <col min="18" max="19" width="9" customWidth="1"/>
    <col min="21" max="22" width="9" style="4"/>
    <col min="24" max="24" width="9" style="4" customWidth="1"/>
    <col min="29" max="29" width="9.28515625" style="15" bestFit="1" customWidth="1"/>
  </cols>
  <sheetData>
    <row r="1" spans="1:24">
      <c r="A1" s="184" t="s">
        <v>242</v>
      </c>
      <c r="B1" s="183"/>
      <c r="C1" s="183"/>
      <c r="D1" s="187" t="s">
        <v>266</v>
      </c>
      <c r="E1" s="183"/>
      <c r="F1" s="183"/>
      <c r="G1" s="183"/>
      <c r="H1" s="183"/>
      <c r="I1" s="183"/>
      <c r="J1" s="183"/>
      <c r="K1" s="183"/>
      <c r="L1" s="183"/>
      <c r="M1" s="183"/>
      <c r="N1" s="183"/>
      <c r="O1" s="183"/>
      <c r="P1" s="183"/>
    </row>
    <row r="2" spans="1:24">
      <c r="A2" s="147" t="s">
        <v>189</v>
      </c>
      <c r="B2" s="186"/>
    </row>
    <row r="3" spans="1:24">
      <c r="A3" s="185" t="s">
        <v>243</v>
      </c>
      <c r="D3" s="185" t="s">
        <v>253</v>
      </c>
      <c r="H3" s="185" t="s">
        <v>254</v>
      </c>
      <c r="K3" s="185" t="s">
        <v>252</v>
      </c>
    </row>
    <row r="4" spans="1:24">
      <c r="A4" t="s">
        <v>244</v>
      </c>
      <c r="B4" t="s">
        <v>245</v>
      </c>
      <c r="D4" s="159" t="s">
        <v>248</v>
      </c>
      <c r="E4" s="188">
        <v>0.47299999999999998</v>
      </c>
      <c r="F4" t="s">
        <v>251</v>
      </c>
      <c r="H4" s="159" t="s">
        <v>255</v>
      </c>
      <c r="I4" s="188">
        <v>1</v>
      </c>
      <c r="K4" s="159" t="s">
        <v>246</v>
      </c>
      <c r="M4" s="159" t="s">
        <v>259</v>
      </c>
      <c r="N4" s="188">
        <v>2</v>
      </c>
    </row>
    <row r="5" spans="1:24">
      <c r="A5" s="188">
        <v>200</v>
      </c>
      <c r="B5" s="189">
        <v>47000</v>
      </c>
      <c r="D5" s="159" t="s">
        <v>249</v>
      </c>
      <c r="E5" s="188">
        <v>636</v>
      </c>
      <c r="F5" t="s">
        <v>250</v>
      </c>
      <c r="H5" s="159"/>
      <c r="K5" s="159" t="s">
        <v>247</v>
      </c>
      <c r="M5" s="159" t="s">
        <v>259</v>
      </c>
      <c r="N5" s="188">
        <v>1</v>
      </c>
    </row>
    <row r="6" spans="1:24">
      <c r="A6" s="188">
        <v>300</v>
      </c>
      <c r="B6" s="189">
        <v>10000000000</v>
      </c>
      <c r="K6" s="159" t="s">
        <v>256</v>
      </c>
      <c r="M6" s="159" t="s">
        <v>259</v>
      </c>
      <c r="N6" s="188">
        <v>0</v>
      </c>
    </row>
    <row r="7" spans="1:24">
      <c r="A7" s="188">
        <v>400</v>
      </c>
      <c r="B7" s="189">
        <v>5600000000000</v>
      </c>
      <c r="D7" s="185" t="s">
        <v>257</v>
      </c>
      <c r="E7" t="s">
        <v>258</v>
      </c>
    </row>
    <row r="8" spans="1:24">
      <c r="A8" t="s">
        <v>260</v>
      </c>
      <c r="X8"/>
    </row>
    <row r="10" spans="1:24">
      <c r="A10" s="184" t="s">
        <v>261</v>
      </c>
      <c r="B10" s="183"/>
      <c r="C10" s="183"/>
      <c r="D10" s="187" t="s">
        <v>265</v>
      </c>
      <c r="E10" s="183"/>
      <c r="F10" s="183"/>
      <c r="G10" s="183"/>
      <c r="H10" s="183"/>
      <c r="I10" s="183"/>
      <c r="J10" s="183"/>
      <c r="K10" s="183"/>
      <c r="L10" s="183"/>
      <c r="M10" s="183"/>
      <c r="N10" s="183"/>
      <c r="O10" s="183"/>
      <c r="P10" s="183"/>
    </row>
    <row r="11" spans="1:24">
      <c r="A11" s="147" t="s">
        <v>189</v>
      </c>
      <c r="B11" s="186"/>
    </row>
    <row r="12" spans="1:24">
      <c r="A12" s="185" t="s">
        <v>254</v>
      </c>
      <c r="D12" s="185" t="s">
        <v>267</v>
      </c>
      <c r="H12" s="185" t="s">
        <v>257</v>
      </c>
      <c r="I12" t="s">
        <v>262</v>
      </c>
      <c r="K12" s="185"/>
      <c r="Q12"/>
      <c r="W12" s="4"/>
    </row>
    <row r="13" spans="1:24">
      <c r="A13" s="159" t="s">
        <v>263</v>
      </c>
      <c r="B13" s="189">
        <v>5000000000000000</v>
      </c>
      <c r="C13" t="s">
        <v>8</v>
      </c>
      <c r="D13" s="159" t="s">
        <v>268</v>
      </c>
      <c r="E13" s="191">
        <v>9000000000000000</v>
      </c>
      <c r="F13" t="s">
        <v>8</v>
      </c>
      <c r="Q13"/>
    </row>
    <row r="14" spans="1:24">
      <c r="A14" s="159" t="s">
        <v>255</v>
      </c>
      <c r="B14" s="188">
        <v>-0.8</v>
      </c>
      <c r="D14" s="159" t="s">
        <v>269</v>
      </c>
      <c r="E14" s="190">
        <v>0.75</v>
      </c>
      <c r="H14" t="s">
        <v>264</v>
      </c>
      <c r="Q14"/>
    </row>
    <row r="15" spans="1:24">
      <c r="Q15"/>
    </row>
    <row r="16" spans="1:24">
      <c r="A16" s="184" t="s">
        <v>272</v>
      </c>
      <c r="B16" s="183"/>
      <c r="C16" s="183"/>
      <c r="D16" s="187" t="s">
        <v>282</v>
      </c>
      <c r="E16" s="183"/>
      <c r="F16" s="183"/>
      <c r="G16" s="183"/>
      <c r="H16" s="183"/>
      <c r="I16" s="183"/>
      <c r="J16" s="183"/>
      <c r="K16" s="183"/>
      <c r="L16" s="183"/>
      <c r="M16" s="183"/>
      <c r="N16" s="183"/>
      <c r="O16" s="183"/>
      <c r="P16" s="183"/>
    </row>
    <row r="17" spans="1:29">
      <c r="Q17"/>
      <c r="U17"/>
      <c r="V17"/>
      <c r="X17"/>
      <c r="AC17"/>
    </row>
    <row r="18" spans="1:29">
      <c r="A18" s="159" t="s">
        <v>273</v>
      </c>
      <c r="B18" s="201">
        <v>0.11308649246845376</v>
      </c>
      <c r="C18" t="s">
        <v>62</v>
      </c>
      <c r="D18" s="159" t="s">
        <v>256</v>
      </c>
      <c r="E18" s="203">
        <v>90.848813359043319</v>
      </c>
      <c r="F18" t="s">
        <v>23</v>
      </c>
      <c r="H18" s="159" t="s">
        <v>277</v>
      </c>
      <c r="I18" s="192">
        <v>1.6664171265639547E-2</v>
      </c>
      <c r="J18" t="s">
        <v>62</v>
      </c>
      <c r="K18" t="s">
        <v>278</v>
      </c>
      <c r="Q18"/>
      <c r="U18"/>
      <c r="V18"/>
      <c r="X18"/>
      <c r="AC18"/>
    </row>
    <row r="19" spans="1:29">
      <c r="A19" s="159" t="s">
        <v>246</v>
      </c>
      <c r="B19" s="202">
        <v>-371.95472027845238</v>
      </c>
      <c r="C19" t="s">
        <v>20</v>
      </c>
      <c r="D19" s="159" t="s">
        <v>274</v>
      </c>
      <c r="E19" s="204">
        <v>-4.7171001122221794</v>
      </c>
      <c r="F19" t="s">
        <v>276</v>
      </c>
      <c r="H19" s="159" t="s">
        <v>280</v>
      </c>
      <c r="I19" s="195">
        <v>0</v>
      </c>
      <c r="J19" t="s">
        <v>68</v>
      </c>
      <c r="K19" t="s">
        <v>281</v>
      </c>
      <c r="Q19"/>
      <c r="U19"/>
      <c r="V19"/>
      <c r="X19"/>
      <c r="AC19"/>
    </row>
    <row r="20" spans="1:29">
      <c r="A20" s="159" t="s">
        <v>247</v>
      </c>
      <c r="B20" s="202">
        <v>361.7823501535986</v>
      </c>
      <c r="C20" t="s">
        <v>21</v>
      </c>
      <c r="D20" s="159" t="s">
        <v>275</v>
      </c>
      <c r="E20" s="193">
        <v>25</v>
      </c>
      <c r="F20" t="s">
        <v>161</v>
      </c>
      <c r="H20" s="159" t="s">
        <v>289</v>
      </c>
      <c r="I20" s="194">
        <v>0</v>
      </c>
      <c r="J20" t="s">
        <v>52</v>
      </c>
      <c r="K20" t="s">
        <v>290</v>
      </c>
      <c r="Q20"/>
      <c r="U20"/>
      <c r="V20"/>
      <c r="X20"/>
      <c r="AC20"/>
    </row>
    <row r="21" spans="1:29">
      <c r="Q21"/>
      <c r="U21"/>
      <c r="V21"/>
      <c r="X21"/>
      <c r="AC21"/>
    </row>
    <row r="22" spans="1:29">
      <c r="A22" s="184" t="s">
        <v>284</v>
      </c>
      <c r="B22" s="183"/>
      <c r="C22" s="183"/>
      <c r="D22" s="187" t="s">
        <v>293</v>
      </c>
      <c r="E22" s="183"/>
      <c r="F22" s="183"/>
      <c r="G22" s="183"/>
      <c r="H22" s="183"/>
      <c r="I22" s="183"/>
      <c r="J22" s="183"/>
      <c r="K22" s="183"/>
      <c r="L22" s="183"/>
      <c r="M22" s="183"/>
      <c r="N22" s="183"/>
      <c r="O22" s="183"/>
      <c r="P22" s="183"/>
    </row>
    <row r="23" spans="1:29">
      <c r="Q23"/>
      <c r="U23"/>
      <c r="V23"/>
      <c r="X23"/>
      <c r="AC23"/>
    </row>
    <row r="24" spans="1:29" ht="15.75" thickBot="1">
      <c r="B24" s="159" t="s">
        <v>53</v>
      </c>
      <c r="C24" s="199">
        <v>3.4795742770751918E-2</v>
      </c>
      <c r="D24" s="200">
        <v>1</v>
      </c>
      <c r="F24" s="242" t="s">
        <v>287</v>
      </c>
      <c r="G24" s="242"/>
      <c r="H24" s="242"/>
      <c r="I24" s="242"/>
      <c r="J24" s="242"/>
      <c r="K24" s="242"/>
      <c r="L24" s="242"/>
      <c r="M24" s="242"/>
      <c r="N24" s="242"/>
      <c r="Q24"/>
      <c r="U24"/>
      <c r="V24"/>
      <c r="X24"/>
      <c r="AC24"/>
    </row>
    <row r="25" spans="1:29" ht="15.75" thickTop="1">
      <c r="B25" s="159" t="s">
        <v>55</v>
      </c>
      <c r="C25" s="192">
        <v>3.4789008087054346E-2</v>
      </c>
      <c r="D25" s="196">
        <v>0.99980645092872589</v>
      </c>
      <c r="F25" s="159" t="s">
        <v>118</v>
      </c>
      <c r="G25" s="192">
        <v>2.1430310836184841E-2</v>
      </c>
      <c r="H25" s="196">
        <v>0.615888874031981</v>
      </c>
      <c r="I25" s="159" t="s">
        <v>119</v>
      </c>
      <c r="J25" s="192">
        <v>8.7386775938607802E-3</v>
      </c>
      <c r="K25" s="196">
        <v>0.25114214837816901</v>
      </c>
      <c r="L25" s="159" t="s">
        <v>285</v>
      </c>
      <c r="M25" s="192">
        <v>4.6200196570087221E-3</v>
      </c>
      <c r="N25" s="196">
        <v>0.13277542851857579</v>
      </c>
      <c r="Q25"/>
      <c r="U25"/>
      <c r="V25"/>
      <c r="X25"/>
      <c r="AC25"/>
    </row>
    <row r="26" spans="1:29">
      <c r="B26" s="159" t="s">
        <v>291</v>
      </c>
      <c r="C26" s="192">
        <v>8.3845943864546838E-6</v>
      </c>
      <c r="D26" s="196">
        <v>2.409660986890178E-4</v>
      </c>
      <c r="F26" s="159" t="s">
        <v>118</v>
      </c>
      <c r="G26" s="192">
        <v>2.0792805380894537E-8</v>
      </c>
      <c r="H26" s="196">
        <v>5.9756751042464429E-7</v>
      </c>
      <c r="I26" s="159" t="s">
        <v>119</v>
      </c>
      <c r="J26" s="192">
        <v>1.2925154973185423E-8</v>
      </c>
      <c r="K26" s="196">
        <v>3.714579412298063E-7</v>
      </c>
      <c r="L26" s="159" t="s">
        <v>285</v>
      </c>
      <c r="M26" s="192">
        <v>8.3508764261006044E-6</v>
      </c>
      <c r="N26" s="196">
        <v>2.3999707323736334E-4</v>
      </c>
      <c r="Q26"/>
      <c r="U26"/>
      <c r="V26"/>
      <c r="X26"/>
      <c r="AC26"/>
    </row>
    <row r="27" spans="1:29" ht="15.75" thickBot="1">
      <c r="B27" s="159" t="s">
        <v>292</v>
      </c>
      <c r="C27" s="192">
        <v>0</v>
      </c>
      <c r="D27" s="196">
        <v>0</v>
      </c>
      <c r="F27" s="159" t="s">
        <v>118</v>
      </c>
      <c r="G27" s="192">
        <v>0</v>
      </c>
      <c r="H27" s="196">
        <v>0</v>
      </c>
      <c r="I27" s="159" t="s">
        <v>119</v>
      </c>
      <c r="J27" s="192">
        <v>0</v>
      </c>
      <c r="K27" s="196">
        <v>0</v>
      </c>
      <c r="L27" s="159" t="s">
        <v>286</v>
      </c>
      <c r="M27" s="192">
        <v>0</v>
      </c>
      <c r="N27" s="196">
        <v>0</v>
      </c>
      <c r="Q27"/>
      <c r="U27"/>
      <c r="V27"/>
      <c r="X27"/>
      <c r="AC27"/>
    </row>
    <row r="28" spans="1:29" ht="15.75" thickTop="1">
      <c r="B28" s="159" t="s">
        <v>288</v>
      </c>
      <c r="C28" s="197">
        <v>3.4797392681440803E-2</v>
      </c>
      <c r="D28" s="198">
        <v>1.000047417027415</v>
      </c>
      <c r="G28" s="197">
        <v>2.1430331628990221E-2</v>
      </c>
      <c r="H28" s="198">
        <v>0.61588947159949137</v>
      </c>
      <c r="J28" s="197">
        <v>8.7386905190157526E-3</v>
      </c>
      <c r="K28" s="198">
        <v>0.25114251983611025</v>
      </c>
      <c r="M28" s="197">
        <v>4.6283705334348229E-3</v>
      </c>
      <c r="N28" s="198">
        <v>0.13301542559181317</v>
      </c>
      <c r="Q28"/>
      <c r="U28"/>
      <c r="V28"/>
      <c r="X28"/>
      <c r="AC28"/>
    </row>
    <row r="29" spans="1:29">
      <c r="B29" s="159"/>
      <c r="C29" s="4"/>
      <c r="Q29"/>
      <c r="U29"/>
      <c r="V29"/>
      <c r="X29"/>
      <c r="AC29"/>
    </row>
    <row r="30" spans="1:29">
      <c r="C30" s="15"/>
      <c r="Q30"/>
      <c r="U30"/>
      <c r="V30"/>
      <c r="X30"/>
      <c r="AC30"/>
    </row>
    <row r="31" spans="1:29">
      <c r="Q31"/>
      <c r="U31"/>
      <c r="V31"/>
      <c r="X31"/>
      <c r="AC31"/>
    </row>
    <row r="32" spans="1:29">
      <c r="Q32"/>
      <c r="U32"/>
      <c r="V32"/>
      <c r="X32"/>
      <c r="AC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spans="17:29">
      <c r="Q97"/>
      <c r="U97"/>
      <c r="V97"/>
      <c r="X97"/>
      <c r="AC97"/>
    </row>
    <row r="98" spans="17:29">
      <c r="Q98"/>
      <c r="U98"/>
      <c r="V98"/>
      <c r="X98"/>
      <c r="AC98"/>
    </row>
    <row r="99" spans="17:29">
      <c r="Q99"/>
      <c r="U99"/>
      <c r="V99"/>
      <c r="X99"/>
      <c r="AC99"/>
    </row>
    <row r="100" spans="17:29">
      <c r="Q100"/>
      <c r="U100"/>
      <c r="V100"/>
      <c r="X100"/>
      <c r="AC100"/>
    </row>
    <row r="101" spans="17:29">
      <c r="Q101"/>
      <c r="U101"/>
      <c r="V101"/>
      <c r="X101"/>
      <c r="AC101"/>
    </row>
    <row r="102" spans="17:29">
      <c r="Q102"/>
      <c r="U102"/>
      <c r="V102"/>
      <c r="X102"/>
      <c r="AC102"/>
    </row>
    <row r="103" spans="17:29">
      <c r="Q103"/>
      <c r="U103"/>
      <c r="V103"/>
      <c r="X103"/>
      <c r="AC103"/>
    </row>
    <row r="104" spans="17:29">
      <c r="Q104"/>
      <c r="U104"/>
      <c r="V104"/>
      <c r="X104"/>
      <c r="AC104"/>
    </row>
    <row r="105" spans="17:29">
      <c r="AC105"/>
    </row>
    <row r="106" spans="17:29">
      <c r="AC106"/>
    </row>
    <row r="107" spans="17:29">
      <c r="AC107"/>
    </row>
    <row r="108" spans="17:29">
      <c r="AC108"/>
    </row>
    <row r="109" spans="17:29">
      <c r="AC109"/>
    </row>
    <row r="110" spans="17:29">
      <c r="AC110"/>
    </row>
    <row r="111" spans="17:29">
      <c r="AC111"/>
    </row>
    <row r="112" spans="17:29">
      <c r="AC112"/>
    </row>
    <row r="113" spans="29:29">
      <c r="AC113"/>
    </row>
    <row r="114" spans="29:29">
      <c r="AC114"/>
    </row>
    <row r="115" spans="29:29">
      <c r="AC115"/>
    </row>
    <row r="116" spans="29:29">
      <c r="AC116"/>
    </row>
    <row r="117" spans="29:29">
      <c r="AC117"/>
    </row>
    <row r="118" spans="29:29">
      <c r="AC118"/>
    </row>
    <row r="119" spans="29:29">
      <c r="AC119"/>
    </row>
    <row r="120" spans="29:29">
      <c r="AC120"/>
    </row>
    <row r="121" spans="29:29">
      <c r="AC121"/>
    </row>
    <row r="122" spans="29:29">
      <c r="AC122"/>
    </row>
    <row r="123" spans="29:29">
      <c r="AC123"/>
    </row>
    <row r="124" spans="29:29">
      <c r="AC124"/>
    </row>
    <row r="125" spans="29:29">
      <c r="AC125"/>
    </row>
    <row r="126" spans="29:29">
      <c r="AC126"/>
    </row>
    <row r="127" spans="29:29">
      <c r="AC127"/>
    </row>
    <row r="128" spans="29:29">
      <c r="AC128"/>
    </row>
    <row r="129" spans="29:29">
      <c r="AC129"/>
    </row>
    <row r="130" spans="29:29">
      <c r="AC130"/>
    </row>
    <row r="131" spans="29:29">
      <c r="AC131"/>
    </row>
    <row r="132" spans="29:29">
      <c r="AC132"/>
    </row>
    <row r="133" spans="29:29">
      <c r="AC133"/>
    </row>
    <row r="134" spans="29:29">
      <c r="AC134"/>
    </row>
    <row r="135" spans="29:29">
      <c r="AC135"/>
    </row>
    <row r="136" spans="29:29">
      <c r="AC136"/>
    </row>
    <row r="137" spans="29:29">
      <c r="AC137"/>
    </row>
    <row r="138" spans="29:29">
      <c r="AC138"/>
    </row>
    <row r="139" spans="29:29">
      <c r="AC139"/>
    </row>
    <row r="140" spans="29:29">
      <c r="AC140"/>
    </row>
    <row r="141" spans="29:29">
      <c r="AC141"/>
    </row>
    <row r="142" spans="29:29">
      <c r="AC142"/>
    </row>
    <row r="143" spans="29:29">
      <c r="AC143"/>
    </row>
    <row r="144" spans="29:29">
      <c r="AC144"/>
    </row>
    <row r="145" spans="29:29">
      <c r="AC145"/>
    </row>
    <row r="146" spans="29:29">
      <c r="AC146"/>
    </row>
    <row r="147" spans="29:29">
      <c r="AC147"/>
    </row>
    <row r="148" spans="29:29">
      <c r="AC148"/>
    </row>
    <row r="149" spans="29:29">
      <c r="AC149"/>
    </row>
    <row r="150" spans="29:29">
      <c r="AC150"/>
    </row>
    <row r="151" spans="29:29">
      <c r="AC151"/>
    </row>
    <row r="152" spans="29:29">
      <c r="AC152"/>
    </row>
    <row r="153" spans="29:29">
      <c r="AC153"/>
    </row>
    <row r="154" spans="29:29">
      <c r="AC154"/>
    </row>
    <row r="155" spans="29:29">
      <c r="AC155"/>
    </row>
    <row r="156" spans="29:29">
      <c r="AC156"/>
    </row>
    <row r="157" spans="29:29">
      <c r="AC157"/>
    </row>
    <row r="158" spans="29:29">
      <c r="AC158"/>
    </row>
    <row r="159" spans="29:29">
      <c r="AC159"/>
    </row>
    <row r="160" spans="29:29">
      <c r="AC160"/>
    </row>
    <row r="161" spans="29:29">
      <c r="AC161"/>
    </row>
    <row r="162" spans="29:29">
      <c r="AC162"/>
    </row>
    <row r="163" spans="29:29">
      <c r="AC163"/>
    </row>
    <row r="164" spans="29:29">
      <c r="AC164"/>
    </row>
    <row r="165" spans="29:29">
      <c r="AC165"/>
    </row>
    <row r="166" spans="29:29">
      <c r="AC166"/>
    </row>
    <row r="167" spans="29:29">
      <c r="AC167"/>
    </row>
    <row r="168" spans="29:29">
      <c r="AC168"/>
    </row>
    <row r="169" spans="29:29">
      <c r="AC169"/>
    </row>
    <row r="170" spans="29:29">
      <c r="AC170"/>
    </row>
    <row r="171" spans="29:29">
      <c r="AC171"/>
    </row>
    <row r="172" spans="29:29">
      <c r="AC172"/>
    </row>
    <row r="173" spans="29:29">
      <c r="AC173"/>
    </row>
  </sheetData>
  <mergeCells count="1">
    <mergeCell ref="F24:N24"/>
  </mergeCells>
  <phoneticPr fontId="19" type="noConversion"/>
  <dataValidations count="6">
    <dataValidation type="decimal" allowBlank="1" showInputMessage="1" showErrorMessage="1" sqref="A5:A7" xr:uid="{565AE60D-AEDE-4CBC-A90A-1C2A5DA474ED}">
      <formula1>100</formula1>
      <formula2>500</formula2>
    </dataValidation>
    <dataValidation type="decimal" operator="greaterThan" allowBlank="1" showInputMessage="1" showErrorMessage="1" sqref="B5:B7 B13 E13" xr:uid="{37C7E683-DB0E-4302-9520-ED56CDFB28EA}">
      <formula1>0</formula1>
    </dataValidation>
    <dataValidation type="decimal" allowBlank="1" showInputMessage="1" showErrorMessage="1" error="Must be between 1E-6 and 1E3." sqref="B18" xr:uid="{3400020C-8B22-48BA-8593-32E318B1614B}">
      <formula1>0.000001</formula1>
      <formula2>1000</formula2>
    </dataValidation>
    <dataValidation type="decimal" allowBlank="1" showInputMessage="1" showErrorMessage="1" error="Must be between 0 and 100." sqref="E18:E19" xr:uid="{4BF1242D-E4A2-40DD-8C02-3B9A6952F712}">
      <formula1>0</formula1>
      <formula2>100</formula2>
    </dataValidation>
    <dataValidation type="decimal" allowBlank="1" showInputMessage="1" showErrorMessage="1" error="Must be between 1E-1 and 1E5." sqref="B19" xr:uid="{487A3A49-BB15-4008-B0CB-7D26DDC8D221}">
      <formula1>0.1</formula1>
      <formula2>1000000</formula2>
    </dataValidation>
    <dataValidation type="decimal" allowBlank="1" showInputMessage="1" showErrorMessage="1" error="Must be between 0 and 1E5." sqref="B20" xr:uid="{3137F230-E0D4-45D9-870F-4DE1A76C317F}">
      <formula1>0</formula1>
      <formula2>100000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2CF603F3-9DFF-45FB-87E5-703268BDF4ED}">
          <x14:formula1>
            <xm:f>Dashboard!$R$23:$R$24</xm:f>
          </x14:formula1>
          <xm:sqref>A2 A11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47D0-EC50-4BAA-819B-34C83110E6CC}">
  <sheetPr codeName="Sheet4"/>
  <dimension ref="A1:N32"/>
  <sheetViews>
    <sheetView zoomScale="130" zoomScaleNormal="130" workbookViewId="0">
      <selection activeCell="D5" sqref="D5"/>
    </sheetView>
  </sheetViews>
  <sheetFormatPr defaultColWidth="8.85546875" defaultRowHeight="15"/>
  <cols>
    <col min="1" max="1" width="12.7109375" customWidth="1"/>
    <col min="2" max="2" width="3.7109375" customWidth="1"/>
    <col min="3" max="13" width="18.7109375" customWidth="1"/>
  </cols>
  <sheetData>
    <row r="1" spans="1:13">
      <c r="A1" s="234" t="s">
        <v>208</v>
      </c>
      <c r="B1" s="234"/>
      <c r="C1" s="244" t="s">
        <v>233</v>
      </c>
      <c r="D1" s="244"/>
      <c r="E1" s="244"/>
      <c r="F1" s="244"/>
      <c r="G1" s="244"/>
      <c r="H1" s="244"/>
      <c r="I1" s="244"/>
      <c r="J1" s="244"/>
      <c r="K1" s="244"/>
      <c r="L1" s="85"/>
      <c r="M1" s="65"/>
    </row>
    <row r="2" spans="1:13">
      <c r="A2" s="243"/>
      <c r="B2" s="243"/>
      <c r="C2" s="245" t="s">
        <v>230</v>
      </c>
      <c r="D2" s="245"/>
      <c r="E2" s="245"/>
      <c r="F2" s="245"/>
      <c r="G2" s="245"/>
      <c r="H2" s="245"/>
      <c r="I2" s="245"/>
      <c r="J2" s="245"/>
      <c r="K2" s="245"/>
      <c r="L2" s="157"/>
      <c r="M2" s="157"/>
    </row>
    <row r="3" spans="1:13" ht="15.75" thickBot="1">
      <c r="B3" s="159" t="s">
        <v>212</v>
      </c>
      <c r="C3" s="160" t="s">
        <v>283</v>
      </c>
      <c r="D3" s="160"/>
      <c r="E3" s="160"/>
      <c r="F3" s="160"/>
      <c r="G3" s="160"/>
      <c r="H3" s="160"/>
      <c r="I3" s="160"/>
      <c r="J3" s="160"/>
      <c r="K3" s="160"/>
      <c r="L3" s="160"/>
      <c r="M3" s="160"/>
    </row>
    <row r="4" spans="1:13">
      <c r="A4" s="173" t="s">
        <v>202</v>
      </c>
      <c r="C4" s="1" t="s">
        <v>213</v>
      </c>
      <c r="D4" t="s">
        <v>203</v>
      </c>
    </row>
    <row r="5" spans="1:13" ht="15.75" thickBot="1">
      <c r="A5" s="174" t="s">
        <v>204</v>
      </c>
      <c r="C5" s="155" t="s">
        <v>295</v>
      </c>
      <c r="D5" s="155" t="s">
        <v>296</v>
      </c>
      <c r="E5" s="155" t="s">
        <v>297</v>
      </c>
      <c r="F5" s="155"/>
      <c r="G5" s="155"/>
      <c r="H5" s="155"/>
      <c r="I5" s="155"/>
      <c r="J5" s="155"/>
      <c r="K5" s="155"/>
      <c r="L5" s="155"/>
      <c r="M5" s="155"/>
    </row>
    <row r="6" spans="1:13">
      <c r="A6" s="181"/>
      <c r="C6" s="109">
        <v>4.9999999999999991</v>
      </c>
      <c r="D6" s="109">
        <v>1.010434989832652E+16</v>
      </c>
      <c r="E6" s="109">
        <v>1.0185380187167408E+16</v>
      </c>
      <c r="F6" s="109"/>
      <c r="G6" s="109"/>
      <c r="H6" s="109"/>
      <c r="I6" s="109"/>
      <c r="J6" s="109"/>
      <c r="K6" s="109"/>
      <c r="L6" s="109"/>
      <c r="M6" s="109"/>
    </row>
    <row r="7" spans="1:13" ht="15.75" thickBot="1">
      <c r="A7" s="181"/>
      <c r="C7" s="109">
        <v>7.9244659623055673</v>
      </c>
      <c r="D7" s="109">
        <v>1.0086992459702472E+16</v>
      </c>
      <c r="E7" s="109">
        <v>1.0175000356751992E+16</v>
      </c>
      <c r="F7" s="109"/>
      <c r="G7" s="109"/>
      <c r="H7" s="109"/>
      <c r="I7" s="109"/>
      <c r="J7" s="109"/>
      <c r="K7" s="109"/>
      <c r="L7" s="109"/>
      <c r="M7" s="109"/>
    </row>
    <row r="8" spans="1:13">
      <c r="A8" s="173" t="s">
        <v>206</v>
      </c>
      <c r="C8" s="109">
        <v>12.559432157547899</v>
      </c>
      <c r="D8" s="109">
        <v>1.0059695552503968E+16</v>
      </c>
      <c r="E8" s="109">
        <v>1.0158664438376272E+16</v>
      </c>
      <c r="F8" s="109"/>
      <c r="G8" s="109"/>
      <c r="H8" s="109"/>
      <c r="I8" s="109"/>
      <c r="J8" s="109"/>
      <c r="K8" s="109"/>
      <c r="L8" s="109"/>
      <c r="M8" s="109"/>
    </row>
    <row r="9" spans="1:13" ht="15.75" thickBot="1">
      <c r="A9" s="176">
        <v>5</v>
      </c>
      <c r="C9" s="109">
        <v>19.905358527674856</v>
      </c>
      <c r="D9" s="109">
        <v>1.0016815299103632E+16</v>
      </c>
      <c r="E9" s="109">
        <v>1.013296558645104E+16</v>
      </c>
      <c r="F9" s="109"/>
      <c r="G9" s="109"/>
      <c r="H9" s="109"/>
      <c r="I9" s="109"/>
      <c r="J9" s="109"/>
      <c r="K9" s="109"/>
      <c r="L9" s="109"/>
      <c r="M9" s="109"/>
    </row>
    <row r="10" spans="1:13">
      <c r="A10" s="173" t="s">
        <v>207</v>
      </c>
      <c r="C10" s="109">
        <v>31.547867224009664</v>
      </c>
      <c r="D10" s="109">
        <v>9949933822249120</v>
      </c>
      <c r="E10" s="109">
        <v>1.0092814386924584E+16</v>
      </c>
      <c r="F10" s="109"/>
      <c r="G10" s="109"/>
      <c r="H10" s="109"/>
      <c r="I10" s="109"/>
      <c r="J10" s="109"/>
      <c r="K10" s="109"/>
      <c r="L10" s="109"/>
      <c r="M10" s="109"/>
    </row>
    <row r="11" spans="1:13" ht="15.75" thickBot="1">
      <c r="A11" s="176">
        <v>50000</v>
      </c>
      <c r="C11" s="109">
        <v>49.999999999999993</v>
      </c>
      <c r="D11" s="109">
        <v>9846536098779624</v>
      </c>
      <c r="E11" s="109">
        <v>1.0030497748959752E+16</v>
      </c>
      <c r="F11" s="109"/>
      <c r="G11" s="109"/>
      <c r="H11" s="109"/>
      <c r="I11" s="109"/>
      <c r="J11" s="109"/>
      <c r="K11" s="109"/>
      <c r="L11" s="109"/>
      <c r="M11" s="109"/>
    </row>
    <row r="12" spans="1:13">
      <c r="A12" s="173" t="s">
        <v>201</v>
      </c>
      <c r="C12" s="109">
        <v>79.244659623055696</v>
      </c>
      <c r="D12" s="109">
        <v>9688948142970856</v>
      </c>
      <c r="E12" s="109">
        <v>9934902777859960</v>
      </c>
      <c r="F12" s="109"/>
      <c r="G12" s="109"/>
      <c r="H12" s="109"/>
      <c r="I12" s="109"/>
      <c r="J12" s="109"/>
      <c r="K12" s="109"/>
      <c r="L12" s="109"/>
      <c r="M12" s="109"/>
    </row>
    <row r="13" spans="1:13" ht="15.75" thickBot="1">
      <c r="A13" s="175">
        <v>20</v>
      </c>
      <c r="C13" s="109">
        <v>125.59432157547901</v>
      </c>
      <c r="D13" s="109">
        <v>9453359188012608</v>
      </c>
      <c r="E13" s="109">
        <v>9791909615133400</v>
      </c>
      <c r="F13" s="109"/>
      <c r="G13" s="109"/>
      <c r="H13" s="109"/>
      <c r="I13" s="109"/>
      <c r="J13" s="109"/>
      <c r="K13" s="109"/>
      <c r="L13" s="109"/>
      <c r="M13" s="109"/>
    </row>
    <row r="14" spans="1:13">
      <c r="A14" s="173" t="s">
        <v>214</v>
      </c>
      <c r="C14" s="109">
        <v>199.05358527674861</v>
      </c>
      <c r="D14" s="109">
        <v>9111397968644648</v>
      </c>
      <c r="E14" s="109">
        <v>9582294688471976</v>
      </c>
      <c r="F14" s="109"/>
      <c r="G14" s="109"/>
      <c r="H14" s="109"/>
      <c r="I14" s="109"/>
      <c r="J14" s="109"/>
      <c r="K14" s="109"/>
      <c r="L14" s="109"/>
      <c r="M14" s="109"/>
    </row>
    <row r="15" spans="1:13" ht="15.75" thickBot="1">
      <c r="A15" s="174" t="s">
        <v>200</v>
      </c>
      <c r="C15" s="109">
        <v>315.47867224009656</v>
      </c>
      <c r="D15" s="109">
        <v>8634799508731456</v>
      </c>
      <c r="E15" s="109">
        <v>9286150061051712</v>
      </c>
      <c r="F15" s="109"/>
      <c r="G15" s="109"/>
      <c r="H15" s="109"/>
      <c r="I15" s="109"/>
      <c r="J15" s="109"/>
      <c r="K15" s="109"/>
      <c r="L15" s="109"/>
      <c r="M15" s="109"/>
    </row>
    <row r="16" spans="1:13">
      <c r="A16" s="181"/>
      <c r="C16" s="109">
        <v>499.99999999999983</v>
      </c>
      <c r="D16" s="109">
        <v>8004420659822744</v>
      </c>
      <c r="E16" s="109">
        <v>8887637500338904</v>
      </c>
      <c r="F16" s="109"/>
      <c r="G16" s="109"/>
      <c r="H16" s="109"/>
      <c r="I16" s="109"/>
      <c r="J16" s="109"/>
      <c r="K16" s="109"/>
      <c r="L16" s="109"/>
      <c r="M16" s="109"/>
    </row>
    <row r="17" spans="1:14">
      <c r="A17" s="181"/>
      <c r="C17" s="109">
        <v>792.44659623055713</v>
      </c>
      <c r="D17" s="109">
        <v>7222249289958728</v>
      </c>
      <c r="E17" s="109">
        <v>8381283032700408</v>
      </c>
      <c r="F17" s="109"/>
      <c r="G17" s="109"/>
      <c r="H17" s="109"/>
      <c r="I17" s="109"/>
      <c r="J17" s="109"/>
      <c r="K17" s="109"/>
      <c r="L17" s="109"/>
      <c r="M17" s="109"/>
    </row>
    <row r="18" spans="1:14">
      <c r="C18" s="109">
        <v>1255.9432157547903</v>
      </c>
      <c r="D18" s="109">
        <v>6318446964533496</v>
      </c>
      <c r="E18" s="109">
        <v>7780078312884432</v>
      </c>
      <c r="F18" s="109"/>
      <c r="G18" s="109"/>
      <c r="H18" s="109"/>
      <c r="I18" s="109"/>
      <c r="J18" s="109"/>
      <c r="K18" s="109"/>
      <c r="L18" s="109"/>
      <c r="M18" s="109"/>
    </row>
    <row r="19" spans="1:14">
      <c r="C19" s="109">
        <v>1990.5358527674866</v>
      </c>
      <c r="D19" s="109">
        <v>5348048590702304</v>
      </c>
      <c r="E19" s="109">
        <v>7117269580037728</v>
      </c>
      <c r="F19" s="109"/>
      <c r="G19" s="109"/>
      <c r="H19" s="109"/>
      <c r="I19" s="109"/>
      <c r="J19" s="109"/>
      <c r="K19" s="109"/>
      <c r="L19" s="109"/>
      <c r="M19" s="109"/>
    </row>
    <row r="20" spans="1:14">
      <c r="C20" s="109">
        <v>3154.7867224009692</v>
      </c>
      <c r="D20" s="109">
        <v>4376390104049248</v>
      </c>
      <c r="E20" s="109">
        <v>6442750294779552</v>
      </c>
      <c r="F20" s="109"/>
      <c r="G20" s="109"/>
      <c r="H20" s="109"/>
      <c r="I20" s="109"/>
      <c r="J20" s="109"/>
      <c r="K20" s="109"/>
      <c r="L20" s="109"/>
      <c r="M20" s="109"/>
      <c r="N20" s="109"/>
    </row>
    <row r="21" spans="1:14">
      <c r="C21" s="109">
        <v>5000.0000000000036</v>
      </c>
      <c r="D21" s="109">
        <v>3465594710147072</v>
      </c>
      <c r="E21" s="109">
        <v>5789017778244784</v>
      </c>
      <c r="F21" s="109"/>
      <c r="G21" s="109"/>
      <c r="H21" s="109"/>
      <c r="I21" s="109"/>
      <c r="J21" s="109"/>
      <c r="K21" s="109"/>
      <c r="L21" s="109"/>
      <c r="M21" s="109"/>
    </row>
    <row r="22" spans="1:14">
      <c r="C22" s="109">
        <v>7924.4659623055722</v>
      </c>
      <c r="D22" s="109">
        <v>2657994432652192</v>
      </c>
      <c r="E22" s="109">
        <v>5197543165167760</v>
      </c>
      <c r="F22" s="109"/>
      <c r="G22" s="109"/>
      <c r="H22" s="109"/>
      <c r="I22" s="109"/>
      <c r="J22" s="109"/>
      <c r="K22" s="109"/>
      <c r="L22" s="109"/>
      <c r="M22" s="109"/>
    </row>
    <row r="23" spans="1:14" ht="15" customHeight="1">
      <c r="B23" s="158"/>
      <c r="C23" s="109">
        <v>12559.432157547906</v>
      </c>
      <c r="D23" s="109">
        <v>1976466300123408</v>
      </c>
      <c r="E23" s="109">
        <v>4692675511834632</v>
      </c>
      <c r="F23" s="109"/>
      <c r="G23" s="109"/>
      <c r="H23" s="109"/>
      <c r="I23" s="109"/>
      <c r="J23" s="109"/>
      <c r="K23" s="109"/>
      <c r="L23" s="109"/>
      <c r="M23" s="109"/>
    </row>
    <row r="24" spans="1:14">
      <c r="A24" s="156"/>
      <c r="B24" s="158"/>
      <c r="C24" s="109">
        <v>19905.358527674871</v>
      </c>
      <c r="D24" s="109">
        <v>1426597246588168</v>
      </c>
      <c r="E24" s="109">
        <v>4284144667621504</v>
      </c>
      <c r="F24" s="109"/>
      <c r="G24" s="109"/>
      <c r="H24" s="109"/>
      <c r="I24" s="109"/>
      <c r="J24" s="109"/>
      <c r="K24" s="109"/>
      <c r="L24" s="109"/>
      <c r="M24" s="109"/>
    </row>
    <row r="25" spans="1:14">
      <c r="A25" s="156"/>
      <c r="B25" s="158"/>
      <c r="C25" s="109">
        <v>31547.867224009671</v>
      </c>
      <c r="D25" s="109">
        <v>1001397183351488</v>
      </c>
      <c r="E25" s="109">
        <v>3966735354824288</v>
      </c>
      <c r="F25" s="109"/>
      <c r="G25" s="109"/>
      <c r="H25" s="109"/>
      <c r="I25" s="109"/>
      <c r="J25" s="109"/>
      <c r="K25" s="109"/>
      <c r="L25" s="109"/>
      <c r="M25" s="109"/>
    </row>
    <row r="26" spans="1:14">
      <c r="A26" s="156"/>
      <c r="B26" s="158"/>
      <c r="C26" s="109">
        <v>50000.000000000007</v>
      </c>
      <c r="D26" s="109">
        <v>685181790398840</v>
      </c>
      <c r="E26" s="109">
        <v>3737132594539576</v>
      </c>
      <c r="F26" s="109"/>
      <c r="G26" s="109"/>
      <c r="H26" s="109"/>
      <c r="I26" s="109"/>
      <c r="J26" s="109"/>
      <c r="K26" s="109"/>
      <c r="L26" s="109"/>
      <c r="M26" s="109"/>
    </row>
    <row r="27" spans="1:14">
      <c r="B27" s="158"/>
      <c r="C27" s="109"/>
      <c r="D27" s="109"/>
      <c r="E27" s="109"/>
      <c r="F27" s="109"/>
      <c r="G27" s="109"/>
      <c r="H27" s="109"/>
      <c r="I27" s="109"/>
      <c r="J27" s="109"/>
      <c r="K27" s="109"/>
      <c r="L27" s="109"/>
      <c r="M27" s="109"/>
    </row>
    <row r="28" spans="1:14">
      <c r="B28" s="158"/>
      <c r="C28" s="109"/>
      <c r="D28" s="109"/>
      <c r="E28" s="109"/>
      <c r="F28" s="109"/>
      <c r="G28" s="109"/>
      <c r="H28" s="109"/>
      <c r="I28" s="109"/>
      <c r="J28" s="109"/>
      <c r="K28" s="109"/>
      <c r="L28" s="109"/>
      <c r="M28" s="109"/>
    </row>
    <row r="29" spans="1:14" ht="15" customHeight="1">
      <c r="B29" s="156"/>
      <c r="C29" s="109"/>
      <c r="D29" s="109"/>
      <c r="E29" s="109"/>
      <c r="F29" s="109"/>
      <c r="G29" s="109"/>
      <c r="H29" s="109"/>
      <c r="I29" s="109"/>
      <c r="J29" s="109"/>
      <c r="K29" s="109"/>
      <c r="L29" s="109"/>
      <c r="M29" s="109"/>
    </row>
    <row r="30" spans="1:14">
      <c r="B30" s="156"/>
      <c r="C30" s="109"/>
      <c r="D30" s="109"/>
      <c r="E30" s="109"/>
      <c r="F30" s="109"/>
      <c r="G30" s="109"/>
      <c r="H30" s="109"/>
      <c r="I30" s="109"/>
      <c r="J30" s="109"/>
      <c r="K30" s="109"/>
      <c r="L30" s="109"/>
      <c r="M30" s="109"/>
    </row>
    <row r="31" spans="1:14">
      <c r="B31" s="156"/>
      <c r="C31" s="109"/>
      <c r="D31" s="109"/>
      <c r="E31" s="109"/>
      <c r="F31" s="109"/>
      <c r="G31" s="109"/>
      <c r="H31" s="109"/>
      <c r="I31" s="109"/>
      <c r="J31" s="109"/>
      <c r="K31" s="109"/>
      <c r="L31" s="109"/>
      <c r="M31" s="109"/>
    </row>
    <row r="32" spans="1:14">
      <c r="B32" s="156"/>
    </row>
  </sheetData>
  <mergeCells count="4">
    <mergeCell ref="A2:B2"/>
    <mergeCell ref="A1:B1"/>
    <mergeCell ref="C1:K1"/>
    <mergeCell ref="C2:K2"/>
  </mergeCells>
  <dataValidations count="1">
    <dataValidation type="whole" allowBlank="1" showInputMessage="1" showErrorMessage="1" sqref="A13" xr:uid="{37DB99E7-1E22-483F-AD6F-B74180E5C618}">
      <formula1>1</formula1>
      <formula2>25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BatchAutoFill">
                <anchor moveWithCells="1" sizeWithCells="1">
                  <from>
                    <xdr:col>0</xdr:col>
                    <xdr:colOff>47625</xdr:colOff>
                    <xdr:row>5</xdr:row>
                    <xdr:rowOff>66675</xdr:rowOff>
                  </from>
                  <to>
                    <xdr:col>0</xdr:col>
                    <xdr:colOff>800100</xdr:colOff>
                    <xdr:row>6</xdr:row>
                    <xdr:rowOff>161925</xdr:rowOff>
                  </to>
                </anchor>
              </controlPr>
            </control>
          </mc:Choice>
        </mc:AlternateContent>
        <mc:AlternateContent xmlns:mc="http://schemas.openxmlformats.org/markup-compatibility/2006">
          <mc:Choice Requires="x14">
            <control shapeId="16389" r:id="rId5" name="Button 5">
              <controlPr defaultSize="0" print="0" autoFill="0" autoPict="0" macro="[0]!BatchClearHeaders">
                <anchor moveWithCells="1" sizeWithCells="1">
                  <from>
                    <xdr:col>3</xdr:col>
                    <xdr:colOff>800100</xdr:colOff>
                    <xdr:row>3</xdr:row>
                    <xdr:rowOff>28575</xdr:rowOff>
                  </from>
                  <to>
                    <xdr:col>3</xdr:col>
                    <xdr:colOff>1257300</xdr:colOff>
                    <xdr:row>4</xdr:row>
                    <xdr:rowOff>0</xdr:rowOff>
                  </to>
                </anchor>
              </controlPr>
            </control>
          </mc:Choice>
        </mc:AlternateContent>
        <mc:AlternateContent xmlns:mc="http://schemas.openxmlformats.org/markup-compatibility/2006">
          <mc:Choice Requires="x14">
            <control shapeId="16392" r:id="rId6" name="Button 8">
              <controlPr defaultSize="0" print="0" autoFill="0" autoPict="0" macro="[0]!BatchOFAT">
                <anchor moveWithCells="1" sizeWithCells="1">
                  <from>
                    <xdr:col>0</xdr:col>
                    <xdr:colOff>28575</xdr:colOff>
                    <xdr:row>15</xdr:row>
                    <xdr:rowOff>28575</xdr:rowOff>
                  </from>
                  <to>
                    <xdr:col>0</xdr:col>
                    <xdr:colOff>809625</xdr:colOff>
                    <xdr:row>16</xdr:row>
                    <xdr:rowOff>152400</xdr:rowOff>
                  </to>
                </anchor>
              </controlPr>
            </control>
          </mc:Choice>
        </mc:AlternateContent>
        <mc:AlternateContent xmlns:mc="http://schemas.openxmlformats.org/markup-compatibility/2006">
          <mc:Choice Requires="x14">
            <control shapeId="16398" r:id="rId7" name="Button 14">
              <controlPr defaultSize="0" print="0" autoFill="0" autoPict="0" macro="[0]!BatchDefaultSolve">
                <anchor moveWithCells="1" sizeWithCells="1">
                  <from>
                    <xdr:col>4</xdr:col>
                    <xdr:colOff>104775</xdr:colOff>
                    <xdr:row>3</xdr:row>
                    <xdr:rowOff>28575</xdr:rowOff>
                  </from>
                  <to>
                    <xdr:col>4</xdr:col>
                    <xdr:colOff>1181100</xdr:colOff>
                    <xdr:row>3</xdr:row>
                    <xdr:rowOff>180975</xdr:rowOff>
                  </to>
                </anchor>
              </controlPr>
            </control>
          </mc:Choice>
        </mc:AlternateContent>
        <mc:AlternateContent xmlns:mc="http://schemas.openxmlformats.org/markup-compatibility/2006">
          <mc:Choice Requires="x14">
            <control shapeId="16399" r:id="rId8" name="Button 15">
              <controlPr defaultSize="0" print="0" autoFill="0" autoPict="0" macro="[0]!BatchDefaultIV">
                <anchor moveWithCells="1" sizeWithCells="1">
                  <from>
                    <xdr:col>5</xdr:col>
                    <xdr:colOff>104775</xdr:colOff>
                    <xdr:row>3</xdr:row>
                    <xdr:rowOff>28575</xdr:rowOff>
                  </from>
                  <to>
                    <xdr:col>5</xdr:col>
                    <xdr:colOff>1181100</xdr:colOff>
                    <xdr:row>3</xdr:row>
                    <xdr:rowOff>180975</xdr:rowOff>
                  </to>
                </anchor>
              </controlPr>
            </control>
          </mc:Choice>
        </mc:AlternateContent>
        <mc:AlternateContent xmlns:mc="http://schemas.openxmlformats.org/markup-compatibility/2006">
          <mc:Choice Requires="x14">
            <control shapeId="16400" r:id="rId9" name="Button 16">
              <controlPr defaultSize="0" print="0" autoFill="0" autoPict="0" macro="[0]!BatchDefaultSpectral">
                <anchor moveWithCells="1" sizeWithCells="1">
                  <from>
                    <xdr:col>6</xdr:col>
                    <xdr:colOff>104775</xdr:colOff>
                    <xdr:row>3</xdr:row>
                    <xdr:rowOff>28575</xdr:rowOff>
                  </from>
                  <to>
                    <xdr:col>6</xdr:col>
                    <xdr:colOff>1181100</xdr:colOff>
                    <xdr:row>3</xdr:row>
                    <xdr:rowOff>180975</xdr:rowOff>
                  </to>
                </anchor>
              </controlPr>
            </control>
          </mc:Choice>
        </mc:AlternateContent>
        <mc:AlternateContent xmlns:mc="http://schemas.openxmlformats.org/markup-compatibility/2006">
          <mc:Choice Requires="x14">
            <control shapeId="16413" r:id="rId10" name="Button 29">
              <controlPr defaultSize="0" print="0" autoFill="0" autoPict="0" macro="[0]!BatchClearData">
                <anchor moveWithCells="1" sizeWithCells="1">
                  <from>
                    <xdr:col>0</xdr:col>
                    <xdr:colOff>47625</xdr:colOff>
                    <xdr:row>18</xdr:row>
                    <xdr:rowOff>0</xdr:rowOff>
                  </from>
                  <to>
                    <xdr:col>0</xdr:col>
                    <xdr:colOff>809625</xdr:colOff>
                    <xdr:row>18</xdr:row>
                    <xdr:rowOff>180975</xdr:rowOff>
                  </to>
                </anchor>
              </controlPr>
            </control>
          </mc:Choice>
        </mc:AlternateContent>
        <mc:AlternateContent xmlns:mc="http://schemas.openxmlformats.org/markup-compatibility/2006">
          <mc:Choice Requires="x14">
            <control shapeId="16415" r:id="rId11" name="Button 31">
              <controlPr defaultSize="0" print="0" autoFill="0" autoPict="0" macro="[0]!OnResetAll">
                <anchor moveWithCells="1" sizeWithCells="1">
                  <from>
                    <xdr:col>0</xdr:col>
                    <xdr:colOff>180975</xdr:colOff>
                    <xdr:row>21</xdr:row>
                    <xdr:rowOff>161925</xdr:rowOff>
                  </from>
                  <to>
                    <xdr:col>0</xdr:col>
                    <xdr:colOff>733425</xdr:colOff>
                    <xdr:row>22</xdr:row>
                    <xdr:rowOff>180975</xdr:rowOff>
                  </to>
                </anchor>
              </controlPr>
            </control>
          </mc:Choice>
        </mc:AlternateContent>
        <mc:AlternateContent xmlns:mc="http://schemas.openxmlformats.org/markup-compatibility/2006">
          <mc:Choice Requires="x14">
            <control shapeId="16422" r:id="rId12" name="Button 38">
              <controlPr defaultSize="0" print="0" autoFill="0" autoPict="0" macro="[0]!BatchClearAll">
                <anchor moveWithCells="1" sizeWithCells="1">
                  <from>
                    <xdr:col>0</xdr:col>
                    <xdr:colOff>47625</xdr:colOff>
                    <xdr:row>20</xdr:row>
                    <xdr:rowOff>0</xdr:rowOff>
                  </from>
                  <to>
                    <xdr:col>0</xdr:col>
                    <xdr:colOff>828675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r:uid="{1FEDC734-60E7-4112-BF72-4784543BBA83}">
          <x14:formula1>
            <xm:f>Illumination!$M$8:$M$9</xm:f>
          </x14:formula1>
          <xm:sqref>A15</xm:sqref>
        </x14:dataValidation>
        <x14:dataValidation type="list" showInputMessage="1" showErrorMessage="1" xr:uid="{A6A0D12F-8D8B-4851-A921-D64C451F021D}">
          <x14:formula1>
            <xm:f>Illumination!$N$8:$N$10</xm:f>
          </x14:formula1>
          <xm:sqref>A5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Device</vt:lpstr>
      <vt:lpstr>Recombination</vt:lpstr>
      <vt:lpstr>Illumination</vt:lpstr>
      <vt:lpstr>Data</vt:lpstr>
      <vt:lpstr>Image</vt:lpstr>
      <vt:lpstr>Models</vt:lpstr>
      <vt:lpstr>Batch</vt:lpstr>
    </vt:vector>
  </TitlesOfParts>
  <Company>PV Specialist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PC3D</dc:title>
  <dc:creator>Paul Basore</dc:creator>
  <cp:lastModifiedBy>Sebastian Bonilla</cp:lastModifiedBy>
  <cp:lastPrinted>2019-08-14T16:24:23Z</cp:lastPrinted>
  <dcterms:created xsi:type="dcterms:W3CDTF">2019-02-02T19:25:02Z</dcterms:created>
  <dcterms:modified xsi:type="dcterms:W3CDTF">2024-12-15T20:04:10Z</dcterms:modified>
</cp:coreProperties>
</file>